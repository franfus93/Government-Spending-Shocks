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andro.gobbi\Nextcloud\wip\fiscalMulti\ABFG - multipliers\tim &amp; co\replication_code\"/>
    </mc:Choice>
  </mc:AlternateContent>
  <bookViews>
    <workbookView xWindow="-120" yWindow="-120" windowWidth="29040" windowHeight="1584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F249" i="1" l="1"/>
  <c r="BE2" i="1"/>
  <c r="BA249" i="1" l="1"/>
  <c r="AZ2" i="1"/>
  <c r="AX249" i="1"/>
  <c r="AX248" i="1"/>
  <c r="AX247" i="1"/>
  <c r="AX246" i="1"/>
  <c r="AX245" i="1"/>
  <c r="AX244" i="1"/>
  <c r="AX243" i="1"/>
  <c r="AX242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2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2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2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  <c r="AY146" i="1" l="1"/>
  <c r="AY154" i="1"/>
  <c r="AY162" i="1"/>
  <c r="AY166" i="1"/>
  <c r="AY178" i="1"/>
  <c r="AY186" i="1"/>
  <c r="AZ186" i="1" s="1"/>
  <c r="AY194" i="1"/>
  <c r="AY206" i="1"/>
  <c r="AY210" i="1"/>
  <c r="AY142" i="1"/>
  <c r="AY150" i="1"/>
  <c r="AY158" i="1"/>
  <c r="AY174" i="1"/>
  <c r="AY182" i="1"/>
  <c r="AY202" i="1"/>
  <c r="AY214" i="1"/>
  <c r="AY7" i="1"/>
  <c r="AY43" i="1"/>
  <c r="AY51" i="1"/>
  <c r="AY59" i="1"/>
  <c r="AY67" i="1"/>
  <c r="AY75" i="1"/>
  <c r="AY83" i="1"/>
  <c r="AY91" i="1"/>
  <c r="AY99" i="1"/>
  <c r="AY111" i="1"/>
  <c r="AY239" i="1"/>
  <c r="AY152" i="1"/>
  <c r="AY168" i="1"/>
  <c r="AY172" i="1"/>
  <c r="AY180" i="1"/>
  <c r="AY196" i="1"/>
  <c r="AY200" i="1"/>
  <c r="AY204" i="1"/>
  <c r="AY216" i="1"/>
  <c r="AY224" i="1"/>
  <c r="AY232" i="1"/>
  <c r="AY240" i="1"/>
  <c r="AY248" i="1"/>
  <c r="AY3" i="1"/>
  <c r="AY27" i="1"/>
  <c r="AY35" i="1"/>
  <c r="AY47" i="1"/>
  <c r="AY55" i="1"/>
  <c r="AY63" i="1"/>
  <c r="AY71" i="1"/>
  <c r="AY79" i="1"/>
  <c r="AY87" i="1"/>
  <c r="AY95" i="1"/>
  <c r="AY107" i="1"/>
  <c r="AY115" i="1"/>
  <c r="AY123" i="1"/>
  <c r="AY247" i="1"/>
  <c r="AY4" i="1"/>
  <c r="AY8" i="1"/>
  <c r="AY24" i="1"/>
  <c r="AY32" i="1"/>
  <c r="AY36" i="1"/>
  <c r="AY40" i="1"/>
  <c r="AY44" i="1"/>
  <c r="AY48" i="1"/>
  <c r="AY52" i="1"/>
  <c r="AY56" i="1"/>
  <c r="AY60" i="1"/>
  <c r="AY64" i="1"/>
  <c r="AY68" i="1"/>
  <c r="AY72" i="1"/>
  <c r="AY76" i="1"/>
  <c r="AY88" i="1"/>
  <c r="AY108" i="1"/>
  <c r="AY124" i="1"/>
  <c r="AY136" i="1"/>
  <c r="AY140" i="1"/>
  <c r="AY144" i="1"/>
  <c r="AY127" i="1"/>
  <c r="AY131" i="1"/>
  <c r="AY13" i="1"/>
  <c r="AY17" i="1"/>
  <c r="AY21" i="1"/>
  <c r="AY33" i="1"/>
  <c r="AY37" i="1"/>
  <c r="AY41" i="1"/>
  <c r="AY49" i="1"/>
  <c r="AY53" i="1"/>
  <c r="AY57" i="1"/>
  <c r="AY61" i="1"/>
  <c r="AY65" i="1"/>
  <c r="AY69" i="1"/>
  <c r="AY73" i="1"/>
  <c r="AY77" i="1"/>
  <c r="AY97" i="1"/>
  <c r="AY101" i="1"/>
  <c r="AY105" i="1"/>
  <c r="AY109" i="1"/>
  <c r="AY121" i="1"/>
  <c r="AY125" i="1"/>
  <c r="AY129" i="1"/>
  <c r="AY133" i="1"/>
  <c r="AY137" i="1"/>
  <c r="AY141" i="1"/>
  <c r="AY193" i="1"/>
  <c r="AY241" i="1"/>
  <c r="AY249" i="1"/>
  <c r="AY10" i="1"/>
  <c r="AY46" i="1"/>
  <c r="AY110" i="1"/>
  <c r="AY218" i="1"/>
  <c r="AY230" i="1"/>
  <c r="AY234" i="1"/>
  <c r="AY238" i="1"/>
  <c r="AY139" i="1"/>
  <c r="AY143" i="1"/>
  <c r="AY11" i="1"/>
  <c r="AY9" i="1"/>
  <c r="AY28" i="1"/>
  <c r="AY54" i="1"/>
  <c r="AY78" i="1"/>
  <c r="AY86" i="1"/>
  <c r="AY98" i="1"/>
  <c r="AY102" i="1"/>
  <c r="AY106" i="1"/>
  <c r="AY114" i="1"/>
  <c r="AY118" i="1"/>
  <c r="AY122" i="1"/>
  <c r="AY126" i="1"/>
  <c r="AY130" i="1"/>
  <c r="AY134" i="1"/>
  <c r="AY145" i="1"/>
  <c r="AY149" i="1"/>
  <c r="AY153" i="1"/>
  <c r="AY157" i="1"/>
  <c r="AY161" i="1"/>
  <c r="AY165" i="1"/>
  <c r="AY177" i="1"/>
  <c r="AY181" i="1"/>
  <c r="AY197" i="1"/>
  <c r="AY201" i="1"/>
  <c r="AY205" i="1"/>
  <c r="AY217" i="1"/>
  <c r="AY221" i="1"/>
  <c r="AY233" i="1"/>
  <c r="AY237" i="1"/>
  <c r="AY243" i="1"/>
  <c r="AY246" i="1"/>
  <c r="AY244" i="1"/>
  <c r="AY184" i="1"/>
  <c r="AY132" i="1"/>
  <c r="AY22" i="1"/>
  <c r="AY30" i="1"/>
  <c r="AY42" i="1"/>
  <c r="AY45" i="1"/>
  <c r="AY80" i="1"/>
  <c r="AY84" i="1"/>
  <c r="AY92" i="1"/>
  <c r="AY147" i="1"/>
  <c r="AY151" i="1"/>
  <c r="AY155" i="1"/>
  <c r="AY159" i="1"/>
  <c r="AY163" i="1"/>
  <c r="AY171" i="1"/>
  <c r="AY175" i="1"/>
  <c r="AY187" i="1"/>
  <c r="AY191" i="1"/>
  <c r="AY203" i="1"/>
  <c r="AY207" i="1"/>
  <c r="AY211" i="1"/>
  <c r="AY215" i="1"/>
  <c r="AY227" i="1"/>
  <c r="AY231" i="1"/>
  <c r="AY128" i="1"/>
  <c r="AY14" i="1"/>
  <c r="AY103" i="1"/>
  <c r="AY222" i="1"/>
  <c r="AY104" i="1"/>
  <c r="AY15" i="1"/>
  <c r="AY19" i="1"/>
  <c r="AY167" i="1"/>
  <c r="AY179" i="1"/>
  <c r="AY183" i="1"/>
  <c r="AY195" i="1"/>
  <c r="AY199" i="1"/>
  <c r="AY219" i="1"/>
  <c r="AY223" i="1"/>
  <c r="AY235" i="1"/>
  <c r="AY228" i="1"/>
  <c r="AY212" i="1"/>
  <c r="AY164" i="1"/>
  <c r="AY148" i="1"/>
  <c r="AY116" i="1"/>
  <c r="AY100" i="1"/>
  <c r="AY20" i="1"/>
  <c r="AY198" i="1"/>
  <c r="AY6" i="1"/>
  <c r="AY31" i="1"/>
  <c r="AY81" i="1"/>
  <c r="AY85" i="1"/>
  <c r="AY89" i="1"/>
  <c r="AY93" i="1"/>
  <c r="AY113" i="1"/>
  <c r="AY117" i="1"/>
  <c r="AY208" i="1"/>
  <c r="AY192" i="1"/>
  <c r="AY176" i="1"/>
  <c r="AY160" i="1"/>
  <c r="AY112" i="1"/>
  <c r="AY96" i="1"/>
  <c r="AY16" i="1"/>
  <c r="AY5" i="1"/>
  <c r="AY18" i="1"/>
  <c r="AY119" i="1"/>
  <c r="AY120" i="1"/>
  <c r="AY25" i="1"/>
  <c r="AY50" i="1"/>
  <c r="AY58" i="1"/>
  <c r="AY62" i="1"/>
  <c r="AY70" i="1"/>
  <c r="AY138" i="1"/>
  <c r="AY169" i="1"/>
  <c r="AY173" i="1"/>
  <c r="AY185" i="1"/>
  <c r="AY189" i="1"/>
  <c r="AY209" i="1"/>
  <c r="AY225" i="1"/>
  <c r="AY236" i="1"/>
  <c r="AY220" i="1"/>
  <c r="AY188" i="1"/>
  <c r="AY156" i="1"/>
  <c r="AY12" i="1"/>
  <c r="AY135" i="1"/>
  <c r="AY39" i="1"/>
  <c r="AY23" i="1"/>
  <c r="AY242" i="1"/>
  <c r="AY226" i="1"/>
  <c r="AY190" i="1"/>
  <c r="AY170" i="1"/>
  <c r="AY94" i="1"/>
  <c r="AY90" i="1"/>
  <c r="AY82" i="1"/>
  <c r="AY74" i="1"/>
  <c r="AY66" i="1"/>
  <c r="AY38" i="1"/>
  <c r="AY34" i="1"/>
  <c r="AY26" i="1"/>
  <c r="AY245" i="1"/>
  <c r="AY229" i="1"/>
  <c r="AY213" i="1"/>
  <c r="AY29" i="1"/>
  <c r="BE66" i="1" l="1"/>
  <c r="BF65" i="1"/>
  <c r="BF134" i="1"/>
  <c r="BE135" i="1"/>
  <c r="BF187" i="1"/>
  <c r="BE188" i="1"/>
  <c r="BF168" i="1"/>
  <c r="BE169" i="1"/>
  <c r="BE50" i="1"/>
  <c r="BF49" i="1"/>
  <c r="BF111" i="1"/>
  <c r="BE112" i="1"/>
  <c r="BE31" i="1"/>
  <c r="BF30" i="1"/>
  <c r="BF222" i="1"/>
  <c r="BE223" i="1"/>
  <c r="BE15" i="1"/>
  <c r="BF14" i="1"/>
  <c r="BF127" i="1"/>
  <c r="BE128" i="1"/>
  <c r="BF174" i="1"/>
  <c r="BE175" i="1"/>
  <c r="BF236" i="1"/>
  <c r="BE237" i="1"/>
  <c r="BF152" i="1"/>
  <c r="BE153" i="1"/>
  <c r="BF109" i="1"/>
  <c r="BE110" i="1"/>
  <c r="BF120" i="1"/>
  <c r="BE121" i="1"/>
  <c r="BE49" i="1"/>
  <c r="BF48" i="1"/>
  <c r="BF126" i="1"/>
  <c r="BE127" i="1"/>
  <c r="BE76" i="1"/>
  <c r="BF75" i="1"/>
  <c r="BE24" i="1"/>
  <c r="BF23" i="1"/>
  <c r="BE55" i="1"/>
  <c r="BF54" i="1"/>
  <c r="BF231" i="1"/>
  <c r="BE232" i="1"/>
  <c r="BF238" i="1"/>
  <c r="BE239" i="1"/>
  <c r="BA193" i="1"/>
  <c r="BF193" i="1"/>
  <c r="BE194" i="1"/>
  <c r="BE74" i="1"/>
  <c r="BF73" i="1"/>
  <c r="BF159" i="1"/>
  <c r="BE160" i="1"/>
  <c r="BF88" i="1"/>
  <c r="BE89" i="1"/>
  <c r="BF211" i="1"/>
  <c r="BE212" i="1"/>
  <c r="BF102" i="1"/>
  <c r="BE103" i="1"/>
  <c r="BF202" i="1"/>
  <c r="BE203" i="1"/>
  <c r="BF91" i="1"/>
  <c r="BE92" i="1"/>
  <c r="BF200" i="1"/>
  <c r="BE201" i="1"/>
  <c r="BF125" i="1"/>
  <c r="BE126" i="1"/>
  <c r="BF233" i="1"/>
  <c r="BE234" i="1"/>
  <c r="BF132" i="1"/>
  <c r="BE133" i="1"/>
  <c r="BE61" i="1"/>
  <c r="BF60" i="1"/>
  <c r="BE72" i="1"/>
  <c r="BF71" i="1"/>
  <c r="BE8" i="1"/>
  <c r="BF7" i="1"/>
  <c r="BE79" i="1"/>
  <c r="BF78" i="1"/>
  <c r="BF223" i="1"/>
  <c r="BE224" i="1"/>
  <c r="BF110" i="1"/>
  <c r="BE111" i="1"/>
  <c r="AZ182" i="1"/>
  <c r="BF181" i="1"/>
  <c r="BE182" i="1"/>
  <c r="BA185" i="1"/>
  <c r="BF185" i="1"/>
  <c r="BE186" i="1"/>
  <c r="BF93" i="1"/>
  <c r="BE94" i="1"/>
  <c r="BF207" i="1"/>
  <c r="BE208" i="1"/>
  <c r="BE20" i="1"/>
  <c r="BF19" i="1"/>
  <c r="BF230" i="1"/>
  <c r="BE231" i="1"/>
  <c r="BF154" i="1"/>
  <c r="BE155" i="1"/>
  <c r="BE45" i="1"/>
  <c r="BF44" i="1"/>
  <c r="BF204" i="1"/>
  <c r="BE205" i="1"/>
  <c r="BF129" i="1"/>
  <c r="BE130" i="1"/>
  <c r="BF248" i="1"/>
  <c r="BE249" i="1"/>
  <c r="BE65" i="1"/>
  <c r="BF64" i="1"/>
  <c r="BF135" i="1"/>
  <c r="BE136" i="1"/>
  <c r="BE60" i="1"/>
  <c r="BF59" i="1"/>
  <c r="BE87" i="1"/>
  <c r="BF86" i="1"/>
  <c r="BF199" i="1"/>
  <c r="BE200" i="1"/>
  <c r="BE83" i="1"/>
  <c r="BF82" i="1"/>
  <c r="AZ150" i="1"/>
  <c r="BF149" i="1"/>
  <c r="BE150" i="1"/>
  <c r="BE26" i="1"/>
  <c r="BF25" i="1"/>
  <c r="BF208" i="1"/>
  <c r="BE209" i="1"/>
  <c r="BE62" i="1"/>
  <c r="BF61" i="1"/>
  <c r="BE5" i="1"/>
  <c r="BF4" i="1"/>
  <c r="BE6" i="1"/>
  <c r="BF5" i="1"/>
  <c r="BF178" i="1"/>
  <c r="BE179" i="1"/>
  <c r="BF226" i="1"/>
  <c r="BE227" i="1"/>
  <c r="BF150" i="1"/>
  <c r="BE151" i="1"/>
  <c r="BF164" i="1"/>
  <c r="BE165" i="1"/>
  <c r="BE86" i="1"/>
  <c r="BF85" i="1"/>
  <c r="BE46" i="1"/>
  <c r="BF45" i="1"/>
  <c r="BF108" i="1"/>
  <c r="BE109" i="1"/>
  <c r="BE41" i="1"/>
  <c r="BF40" i="1"/>
  <c r="BE40" i="1"/>
  <c r="BF39" i="1"/>
  <c r="BE47" i="1"/>
  <c r="BF46" i="1"/>
  <c r="BF195" i="1"/>
  <c r="BE196" i="1"/>
  <c r="BE75" i="1"/>
  <c r="BF74" i="1"/>
  <c r="BA141" i="1"/>
  <c r="BF141" i="1"/>
  <c r="BE142" i="1"/>
  <c r="BA153" i="1"/>
  <c r="BF153" i="1"/>
  <c r="BE154" i="1"/>
  <c r="BF228" i="1"/>
  <c r="BE229" i="1"/>
  <c r="BE34" i="1"/>
  <c r="BF33" i="1"/>
  <c r="BE82" i="1"/>
  <c r="BF81" i="1"/>
  <c r="BF189" i="1"/>
  <c r="BE190" i="1"/>
  <c r="BE23" i="1"/>
  <c r="BF22" i="1"/>
  <c r="BE12" i="1"/>
  <c r="BF11" i="1"/>
  <c r="BF235" i="1"/>
  <c r="BE236" i="1"/>
  <c r="BF188" i="1"/>
  <c r="BE189" i="1"/>
  <c r="BF137" i="1"/>
  <c r="BE138" i="1"/>
  <c r="BE58" i="1"/>
  <c r="BF57" i="1"/>
  <c r="BE25" i="1"/>
  <c r="BF24" i="1"/>
  <c r="BE16" i="1"/>
  <c r="BF15" i="1"/>
  <c r="BF175" i="1"/>
  <c r="BE176" i="1"/>
  <c r="BF116" i="1"/>
  <c r="BE117" i="1"/>
  <c r="BE85" i="1"/>
  <c r="BF84" i="1"/>
  <c r="BF197" i="1"/>
  <c r="BE198" i="1"/>
  <c r="BF115" i="1"/>
  <c r="BE116" i="1"/>
  <c r="BF227" i="1"/>
  <c r="BE228" i="1"/>
  <c r="BF198" i="1"/>
  <c r="BE199" i="1"/>
  <c r="BF166" i="1"/>
  <c r="BE167" i="1"/>
  <c r="BE19" i="1"/>
  <c r="BF18" i="1"/>
  <c r="BE14" i="1"/>
  <c r="BF13" i="1"/>
  <c r="BF214" i="1"/>
  <c r="BE215" i="1"/>
  <c r="BF190" i="1"/>
  <c r="BE191" i="1"/>
  <c r="BF162" i="1"/>
  <c r="BE163" i="1"/>
  <c r="BF146" i="1"/>
  <c r="BE147" i="1"/>
  <c r="BE84" i="1"/>
  <c r="BF83" i="1"/>
  <c r="BE30" i="1"/>
  <c r="BF29" i="1"/>
  <c r="BF131" i="1"/>
  <c r="BE132" i="1"/>
  <c r="BF245" i="1"/>
  <c r="BE246" i="1"/>
  <c r="BF220" i="1"/>
  <c r="BE221" i="1"/>
  <c r="BF196" i="1"/>
  <c r="BE197" i="1"/>
  <c r="BF160" i="1"/>
  <c r="BE161" i="1"/>
  <c r="BF144" i="1"/>
  <c r="BE145" i="1"/>
  <c r="BF121" i="1"/>
  <c r="BE122" i="1"/>
  <c r="BF101" i="1"/>
  <c r="BE102" i="1"/>
  <c r="BE78" i="1"/>
  <c r="BF77" i="1"/>
  <c r="BE28" i="1"/>
  <c r="BF27" i="1"/>
  <c r="BF142" i="1"/>
  <c r="BE143" i="1"/>
  <c r="BF229" i="1"/>
  <c r="BE230" i="1"/>
  <c r="BE10" i="1"/>
  <c r="BF9" i="1"/>
  <c r="BF192" i="1"/>
  <c r="BE193" i="1"/>
  <c r="BF128" i="1"/>
  <c r="BE129" i="1"/>
  <c r="BF104" i="1"/>
  <c r="BE105" i="1"/>
  <c r="BE73" i="1"/>
  <c r="BF72" i="1"/>
  <c r="BE57" i="1"/>
  <c r="BF56" i="1"/>
  <c r="BE37" i="1"/>
  <c r="BF36" i="1"/>
  <c r="BE13" i="1"/>
  <c r="BF12" i="1"/>
  <c r="BF143" i="1"/>
  <c r="BE144" i="1"/>
  <c r="BF107" i="1"/>
  <c r="BE108" i="1"/>
  <c r="BE68" i="1"/>
  <c r="BF67" i="1"/>
  <c r="BE52" i="1"/>
  <c r="BF51" i="1"/>
  <c r="BE36" i="1"/>
  <c r="BF35" i="1"/>
  <c r="BE4" i="1"/>
  <c r="BF3" i="1"/>
  <c r="BF106" i="1"/>
  <c r="BE107" i="1"/>
  <c r="BE71" i="1"/>
  <c r="BF70" i="1"/>
  <c r="BE35" i="1"/>
  <c r="BF34" i="1"/>
  <c r="BF247" i="1"/>
  <c r="BE248" i="1"/>
  <c r="BF215" i="1"/>
  <c r="BE216" i="1"/>
  <c r="BF179" i="1"/>
  <c r="BE180" i="1"/>
  <c r="BF167" i="1"/>
  <c r="BE168" i="1"/>
  <c r="BF98" i="1"/>
  <c r="BE99" i="1"/>
  <c r="BE67" i="1"/>
  <c r="BF66" i="1"/>
  <c r="BE7" i="1"/>
  <c r="BF6" i="1"/>
  <c r="AZ174" i="1"/>
  <c r="BF173" i="1"/>
  <c r="BE174" i="1"/>
  <c r="AZ210" i="1"/>
  <c r="BF209" i="1"/>
  <c r="BE210" i="1"/>
  <c r="AZ178" i="1"/>
  <c r="BF177" i="1"/>
  <c r="BE178" i="1"/>
  <c r="AZ146" i="1"/>
  <c r="BF145" i="1"/>
  <c r="BE146" i="1"/>
  <c r="BE29" i="1"/>
  <c r="BF28" i="1"/>
  <c r="BF241" i="1"/>
  <c r="BE242" i="1"/>
  <c r="BF224" i="1"/>
  <c r="BE225" i="1"/>
  <c r="BF92" i="1"/>
  <c r="BE93" i="1"/>
  <c r="BF163" i="1"/>
  <c r="BE164" i="1"/>
  <c r="BF182" i="1"/>
  <c r="BE183" i="1"/>
  <c r="BF206" i="1"/>
  <c r="BE207" i="1"/>
  <c r="BF243" i="1"/>
  <c r="BE244" i="1"/>
  <c r="BF176" i="1"/>
  <c r="BE177" i="1"/>
  <c r="BF113" i="1"/>
  <c r="BE114" i="1"/>
  <c r="BF237" i="1"/>
  <c r="BE238" i="1"/>
  <c r="BF136" i="1"/>
  <c r="BE137" i="1"/>
  <c r="BF96" i="1"/>
  <c r="BE97" i="1"/>
  <c r="BE21" i="1"/>
  <c r="BF20" i="1"/>
  <c r="BE44" i="1"/>
  <c r="BF43" i="1"/>
  <c r="BF122" i="1"/>
  <c r="BE123" i="1"/>
  <c r="BE3" i="1"/>
  <c r="BF2" i="1"/>
  <c r="BE51" i="1"/>
  <c r="BF50" i="1"/>
  <c r="AZ202" i="1"/>
  <c r="BF201" i="1"/>
  <c r="BE202" i="1"/>
  <c r="BA161" i="1"/>
  <c r="BF161" i="1"/>
  <c r="BE162" i="1"/>
  <c r="BF212" i="1"/>
  <c r="BE213" i="1"/>
  <c r="BF169" i="1"/>
  <c r="BE170" i="1"/>
  <c r="BF219" i="1"/>
  <c r="BE220" i="1"/>
  <c r="BF118" i="1"/>
  <c r="BE119" i="1"/>
  <c r="BF99" i="1"/>
  <c r="BE100" i="1"/>
  <c r="BF218" i="1"/>
  <c r="BE219" i="1"/>
  <c r="BF103" i="1"/>
  <c r="BE104" i="1"/>
  <c r="BF170" i="1"/>
  <c r="BE171" i="1"/>
  <c r="BE42" i="1"/>
  <c r="BF41" i="1"/>
  <c r="BF232" i="1"/>
  <c r="BE233" i="1"/>
  <c r="BF148" i="1"/>
  <c r="BE149" i="1"/>
  <c r="BF105" i="1"/>
  <c r="BE106" i="1"/>
  <c r="BE11" i="1"/>
  <c r="BF10" i="1"/>
  <c r="BF240" i="1"/>
  <c r="BE241" i="1"/>
  <c r="BE77" i="1"/>
  <c r="BF76" i="1"/>
  <c r="BE17" i="1"/>
  <c r="BF16" i="1"/>
  <c r="BF123" i="1"/>
  <c r="BE124" i="1"/>
  <c r="BE56" i="1"/>
  <c r="BF55" i="1"/>
  <c r="BF114" i="1"/>
  <c r="BE115" i="1"/>
  <c r="BF171" i="1"/>
  <c r="BE172" i="1"/>
  <c r="BE43" i="1"/>
  <c r="BF42" i="1"/>
  <c r="BF244" i="1"/>
  <c r="BE245" i="1"/>
  <c r="BE38" i="1"/>
  <c r="BF37" i="1"/>
  <c r="BF89" i="1"/>
  <c r="BE90" i="1"/>
  <c r="BF225" i="1"/>
  <c r="BE226" i="1"/>
  <c r="BE39" i="1"/>
  <c r="BF38" i="1"/>
  <c r="BF155" i="1"/>
  <c r="BE156" i="1"/>
  <c r="BF184" i="1"/>
  <c r="BE185" i="1"/>
  <c r="BF172" i="1"/>
  <c r="BE173" i="1"/>
  <c r="BE70" i="1"/>
  <c r="BF69" i="1"/>
  <c r="BF119" i="1"/>
  <c r="BE120" i="1"/>
  <c r="BE18" i="1"/>
  <c r="BF17" i="1"/>
  <c r="BF95" i="1"/>
  <c r="BE96" i="1"/>
  <c r="BF191" i="1"/>
  <c r="BE192" i="1"/>
  <c r="BF112" i="1"/>
  <c r="BE113" i="1"/>
  <c r="BE81" i="1"/>
  <c r="BF80" i="1"/>
  <c r="BF147" i="1"/>
  <c r="BE148" i="1"/>
  <c r="BF234" i="1"/>
  <c r="BE235" i="1"/>
  <c r="BF194" i="1"/>
  <c r="BE195" i="1"/>
  <c r="BF221" i="1"/>
  <c r="BE222" i="1"/>
  <c r="BF210" i="1"/>
  <c r="BE211" i="1"/>
  <c r="BF186" i="1"/>
  <c r="BE187" i="1"/>
  <c r="BF158" i="1"/>
  <c r="BE159" i="1"/>
  <c r="BE80" i="1"/>
  <c r="BF79" i="1"/>
  <c r="BE22" i="1"/>
  <c r="BF21" i="1"/>
  <c r="BF183" i="1"/>
  <c r="BE184" i="1"/>
  <c r="BF242" i="1"/>
  <c r="BE243" i="1"/>
  <c r="BF216" i="1"/>
  <c r="BE217" i="1"/>
  <c r="BF180" i="1"/>
  <c r="BE181" i="1"/>
  <c r="BF156" i="1"/>
  <c r="BE157" i="1"/>
  <c r="BF133" i="1"/>
  <c r="BE134" i="1"/>
  <c r="BF117" i="1"/>
  <c r="BE118" i="1"/>
  <c r="BF97" i="1"/>
  <c r="BE98" i="1"/>
  <c r="BE54" i="1"/>
  <c r="BF53" i="1"/>
  <c r="BE9" i="1"/>
  <c r="BF8" i="1"/>
  <c r="BF138" i="1"/>
  <c r="BE139" i="1"/>
  <c r="BF217" i="1"/>
  <c r="BE218" i="1"/>
  <c r="BF140" i="1"/>
  <c r="BE141" i="1"/>
  <c r="BF124" i="1"/>
  <c r="BE125" i="1"/>
  <c r="BF100" i="1"/>
  <c r="BE101" i="1"/>
  <c r="BE69" i="1"/>
  <c r="BF68" i="1"/>
  <c r="BE53" i="1"/>
  <c r="BF52" i="1"/>
  <c r="BE33" i="1"/>
  <c r="BF32" i="1"/>
  <c r="BF130" i="1"/>
  <c r="BE131" i="1"/>
  <c r="BF139" i="1"/>
  <c r="BE140" i="1"/>
  <c r="BF87" i="1"/>
  <c r="BE88" i="1"/>
  <c r="BE64" i="1"/>
  <c r="BF63" i="1"/>
  <c r="BE48" i="1"/>
  <c r="BF47" i="1"/>
  <c r="BE32" i="1"/>
  <c r="BF31" i="1"/>
  <c r="BF246" i="1"/>
  <c r="BE247" i="1"/>
  <c r="BF94" i="1"/>
  <c r="BE95" i="1"/>
  <c r="BE63" i="1"/>
  <c r="BF62" i="1"/>
  <c r="BE27" i="1"/>
  <c r="BF26" i="1"/>
  <c r="BF239" i="1"/>
  <c r="BE240" i="1"/>
  <c r="BF203" i="1"/>
  <c r="BE204" i="1"/>
  <c r="BF151" i="1"/>
  <c r="BE152" i="1"/>
  <c r="BF90" i="1"/>
  <c r="BE91" i="1"/>
  <c r="BE59" i="1"/>
  <c r="BF58" i="1"/>
  <c r="AZ154" i="1"/>
  <c r="AZ214" i="1"/>
  <c r="BF213" i="1"/>
  <c r="BE214" i="1"/>
  <c r="AZ158" i="1"/>
  <c r="BF157" i="1"/>
  <c r="BE158" i="1"/>
  <c r="AZ206" i="1"/>
  <c r="BF205" i="1"/>
  <c r="BE206" i="1"/>
  <c r="AZ166" i="1"/>
  <c r="BF165" i="1"/>
  <c r="BE166" i="1"/>
  <c r="BA177" i="1"/>
  <c r="BA145" i="1"/>
  <c r="BA173" i="1"/>
  <c r="BA201" i="1"/>
  <c r="AZ162" i="1"/>
  <c r="AZ142" i="1"/>
  <c r="BA209" i="1"/>
  <c r="BA181" i="1"/>
  <c r="BA213" i="1"/>
  <c r="BA157" i="1"/>
  <c r="AZ194" i="1"/>
  <c r="BA165" i="1"/>
  <c r="BA205" i="1"/>
  <c r="BA149" i="1"/>
  <c r="BA151" i="1"/>
  <c r="AZ152" i="1"/>
  <c r="BA58" i="1"/>
  <c r="AZ59" i="1"/>
  <c r="AZ213" i="1"/>
  <c r="BA212" i="1"/>
  <c r="AZ26" i="1"/>
  <c r="BA25" i="1"/>
  <c r="AZ74" i="1"/>
  <c r="BA73" i="1"/>
  <c r="AZ170" i="1"/>
  <c r="BA169" i="1"/>
  <c r="AZ220" i="1"/>
  <c r="BA219" i="1"/>
  <c r="AZ209" i="1"/>
  <c r="BA208" i="1"/>
  <c r="AZ62" i="1"/>
  <c r="BA61" i="1"/>
  <c r="AZ119" i="1"/>
  <c r="BA118" i="1"/>
  <c r="AZ5" i="1"/>
  <c r="BA4" i="1"/>
  <c r="BA159" i="1"/>
  <c r="AZ160" i="1"/>
  <c r="BA88" i="1"/>
  <c r="AZ89" i="1"/>
  <c r="AZ6" i="1"/>
  <c r="BA5" i="1"/>
  <c r="AZ100" i="1"/>
  <c r="BA99" i="1"/>
  <c r="AZ212" i="1"/>
  <c r="BA211" i="1"/>
  <c r="AZ219" i="1"/>
  <c r="BA218" i="1"/>
  <c r="BA178" i="1"/>
  <c r="AZ179" i="1"/>
  <c r="AZ104" i="1"/>
  <c r="BA103" i="1"/>
  <c r="AZ103" i="1"/>
  <c r="BA102" i="1"/>
  <c r="AZ227" i="1"/>
  <c r="BA226" i="1"/>
  <c r="AZ203" i="1"/>
  <c r="BA202" i="1"/>
  <c r="BA170" i="1"/>
  <c r="AZ171" i="1"/>
  <c r="BA150" i="1"/>
  <c r="AZ151" i="1"/>
  <c r="AZ92" i="1"/>
  <c r="BA91" i="1"/>
  <c r="AZ42" i="1"/>
  <c r="BA41" i="1"/>
  <c r="AZ233" i="1"/>
  <c r="BA232" i="1"/>
  <c r="AZ201" i="1"/>
  <c r="BA200" i="1"/>
  <c r="AZ165" i="1"/>
  <c r="BA164" i="1"/>
  <c r="AZ149" i="1"/>
  <c r="BA148" i="1"/>
  <c r="AZ126" i="1"/>
  <c r="BA125" i="1"/>
  <c r="AZ106" i="1"/>
  <c r="BA105" i="1"/>
  <c r="AZ86" i="1"/>
  <c r="BA85" i="1"/>
  <c r="AZ11" i="1"/>
  <c r="BA10" i="1"/>
  <c r="AZ234" i="1"/>
  <c r="BA233" i="1"/>
  <c r="AZ46" i="1"/>
  <c r="BA45" i="1"/>
  <c r="AZ241" i="1"/>
  <c r="BA240" i="1"/>
  <c r="AZ133" i="1"/>
  <c r="BA132" i="1"/>
  <c r="AZ109" i="1"/>
  <c r="BA108" i="1"/>
  <c r="BA76" i="1"/>
  <c r="AZ77" i="1"/>
  <c r="BA60" i="1"/>
  <c r="AZ61" i="1"/>
  <c r="AZ41" i="1"/>
  <c r="BA40" i="1"/>
  <c r="AZ17" i="1"/>
  <c r="BA16" i="1"/>
  <c r="AZ124" i="1"/>
  <c r="BA123" i="1"/>
  <c r="AZ72" i="1"/>
  <c r="BA71" i="1"/>
  <c r="AZ56" i="1"/>
  <c r="BA55" i="1"/>
  <c r="AZ40" i="1"/>
  <c r="BA39" i="1"/>
  <c r="AZ8" i="1"/>
  <c r="BA7" i="1"/>
  <c r="AZ115" i="1"/>
  <c r="BA114" i="1"/>
  <c r="BA78" i="1"/>
  <c r="AZ79" i="1"/>
  <c r="AZ47" i="1"/>
  <c r="BA46" i="1"/>
  <c r="AZ232" i="1"/>
  <c r="BA231" i="1"/>
  <c r="AZ200" i="1"/>
  <c r="BA199" i="1"/>
  <c r="AZ239" i="1"/>
  <c r="BA238" i="1"/>
  <c r="BA82" i="1"/>
  <c r="AZ83" i="1"/>
  <c r="AZ51" i="1"/>
  <c r="BA50" i="1"/>
  <c r="AZ242" i="1"/>
  <c r="BA241" i="1"/>
  <c r="AZ135" i="1"/>
  <c r="BA134" i="1"/>
  <c r="AZ225" i="1"/>
  <c r="BA224" i="1"/>
  <c r="AZ169" i="1"/>
  <c r="BA168" i="1"/>
  <c r="AZ50" i="1"/>
  <c r="BA49" i="1"/>
  <c r="AZ208" i="1"/>
  <c r="BA207" i="1"/>
  <c r="AZ31" i="1"/>
  <c r="BA30" i="1"/>
  <c r="BA163" i="1"/>
  <c r="AZ164" i="1"/>
  <c r="BA182" i="1"/>
  <c r="AZ183" i="1"/>
  <c r="AZ15" i="1"/>
  <c r="BA14" i="1"/>
  <c r="AZ128" i="1"/>
  <c r="BA127" i="1"/>
  <c r="AZ207" i="1"/>
  <c r="BA206" i="1"/>
  <c r="BA174" i="1"/>
  <c r="AZ175" i="1"/>
  <c r="AZ237" i="1"/>
  <c r="BA236" i="1"/>
  <c r="AZ177" i="1"/>
  <c r="BA176" i="1"/>
  <c r="AZ130" i="1"/>
  <c r="BA129" i="1"/>
  <c r="AZ110" i="1"/>
  <c r="BA109" i="1"/>
  <c r="AZ137" i="1"/>
  <c r="BA136" i="1"/>
  <c r="AZ97" i="1"/>
  <c r="BA96" i="1"/>
  <c r="BA64" i="1"/>
  <c r="AZ65" i="1"/>
  <c r="AZ21" i="1"/>
  <c r="BA20" i="1"/>
  <c r="AZ76" i="1"/>
  <c r="BA75" i="1"/>
  <c r="AZ24" i="1"/>
  <c r="BA23" i="1"/>
  <c r="AZ91" i="1"/>
  <c r="BA90" i="1"/>
  <c r="AZ229" i="1"/>
  <c r="BA228" i="1"/>
  <c r="AZ34" i="1"/>
  <c r="BA33" i="1"/>
  <c r="AZ82" i="1"/>
  <c r="BA81" i="1"/>
  <c r="AZ190" i="1"/>
  <c r="BA189" i="1"/>
  <c r="AZ23" i="1"/>
  <c r="BA22" i="1"/>
  <c r="AZ12" i="1"/>
  <c r="BA11" i="1"/>
  <c r="AZ236" i="1"/>
  <c r="BA235" i="1"/>
  <c r="AZ189" i="1"/>
  <c r="BA188" i="1"/>
  <c r="AZ138" i="1"/>
  <c r="BA137" i="1"/>
  <c r="AZ58" i="1"/>
  <c r="BA57" i="1"/>
  <c r="AZ25" i="1"/>
  <c r="BA24" i="1"/>
  <c r="AZ16" i="1"/>
  <c r="BA15" i="1"/>
  <c r="BA175" i="1"/>
  <c r="AZ176" i="1"/>
  <c r="AZ117" i="1"/>
  <c r="BA116" i="1"/>
  <c r="BA84" i="1"/>
  <c r="AZ85" i="1"/>
  <c r="AZ198" i="1"/>
  <c r="BA197" i="1"/>
  <c r="AZ116" i="1"/>
  <c r="BA115" i="1"/>
  <c r="AZ228" i="1"/>
  <c r="BA227" i="1"/>
  <c r="AZ199" i="1"/>
  <c r="BA198" i="1"/>
  <c r="BA166" i="1"/>
  <c r="AZ167" i="1"/>
  <c r="AZ19" i="1"/>
  <c r="BA18" i="1"/>
  <c r="AZ14" i="1"/>
  <c r="BA13" i="1"/>
  <c r="AZ215" i="1"/>
  <c r="BA214" i="1"/>
  <c r="AZ191" i="1"/>
  <c r="BA190" i="1"/>
  <c r="BA162" i="1"/>
  <c r="AZ163" i="1"/>
  <c r="BA146" i="1"/>
  <c r="AZ147" i="1"/>
  <c r="AZ84" i="1"/>
  <c r="BA83" i="1"/>
  <c r="AZ30" i="1"/>
  <c r="BA29" i="1"/>
  <c r="AZ132" i="1"/>
  <c r="BA131" i="1"/>
  <c r="AZ246" i="1"/>
  <c r="BA245" i="1"/>
  <c r="AZ221" i="1"/>
  <c r="BA220" i="1"/>
  <c r="AZ197" i="1"/>
  <c r="BA196" i="1"/>
  <c r="AZ161" i="1"/>
  <c r="BA160" i="1"/>
  <c r="AZ145" i="1"/>
  <c r="BA144" i="1"/>
  <c r="AZ122" i="1"/>
  <c r="BA121" i="1"/>
  <c r="AZ102" i="1"/>
  <c r="BA101" i="1"/>
  <c r="AZ78" i="1"/>
  <c r="BA77" i="1"/>
  <c r="AZ28" i="1"/>
  <c r="BA27" i="1"/>
  <c r="AZ143" i="1"/>
  <c r="BA142" i="1"/>
  <c r="AZ230" i="1"/>
  <c r="BA229" i="1"/>
  <c r="AZ10" i="1"/>
  <c r="BA9" i="1"/>
  <c r="AZ193" i="1"/>
  <c r="BA192" i="1"/>
  <c r="AZ129" i="1"/>
  <c r="BA128" i="1"/>
  <c r="AZ105" i="1"/>
  <c r="BA104" i="1"/>
  <c r="BA72" i="1"/>
  <c r="AZ73" i="1"/>
  <c r="BA56" i="1"/>
  <c r="AZ57" i="1"/>
  <c r="AZ37" i="1"/>
  <c r="BA36" i="1"/>
  <c r="AZ13" i="1"/>
  <c r="BA12" i="1"/>
  <c r="BA143" i="1"/>
  <c r="AZ144" i="1"/>
  <c r="AZ108" i="1"/>
  <c r="BA107" i="1"/>
  <c r="AZ68" i="1"/>
  <c r="BA67" i="1"/>
  <c r="AZ52" i="1"/>
  <c r="BA51" i="1"/>
  <c r="AZ36" i="1"/>
  <c r="BA35" i="1"/>
  <c r="AZ4" i="1"/>
  <c r="BA3" i="1"/>
  <c r="AZ107" i="1"/>
  <c r="BA106" i="1"/>
  <c r="BA70" i="1"/>
  <c r="AZ71" i="1"/>
  <c r="AZ35" i="1"/>
  <c r="BA34" i="1"/>
  <c r="AZ224" i="1"/>
  <c r="BA223" i="1"/>
  <c r="AZ196" i="1"/>
  <c r="BA195" i="1"/>
  <c r="BA171" i="1"/>
  <c r="AZ172" i="1"/>
  <c r="AZ111" i="1"/>
  <c r="BA110" i="1"/>
  <c r="BA74" i="1"/>
  <c r="AZ75" i="1"/>
  <c r="AZ43" i="1"/>
  <c r="BA42" i="1"/>
  <c r="AZ29" i="1"/>
  <c r="BA28" i="1"/>
  <c r="AZ66" i="1"/>
  <c r="BA65" i="1"/>
  <c r="AZ94" i="1"/>
  <c r="BA93" i="1"/>
  <c r="AZ188" i="1"/>
  <c r="BA187" i="1"/>
  <c r="AZ112" i="1"/>
  <c r="BA111" i="1"/>
  <c r="AZ93" i="1"/>
  <c r="BA92" i="1"/>
  <c r="AZ20" i="1"/>
  <c r="BA19" i="1"/>
  <c r="AZ223" i="1"/>
  <c r="BA222" i="1"/>
  <c r="AZ231" i="1"/>
  <c r="BA230" i="1"/>
  <c r="BA154" i="1"/>
  <c r="AZ155" i="1"/>
  <c r="AZ45" i="1"/>
  <c r="BA44" i="1"/>
  <c r="AZ244" i="1"/>
  <c r="BA243" i="1"/>
  <c r="AZ205" i="1"/>
  <c r="BA204" i="1"/>
  <c r="AZ153" i="1"/>
  <c r="BA152" i="1"/>
  <c r="AZ114" i="1"/>
  <c r="BA113" i="1"/>
  <c r="AZ238" i="1"/>
  <c r="BA237" i="1"/>
  <c r="AZ249" i="1"/>
  <c r="BA248" i="1"/>
  <c r="AZ121" i="1"/>
  <c r="BA120" i="1"/>
  <c r="AZ49" i="1"/>
  <c r="BA48" i="1"/>
  <c r="AZ127" i="1"/>
  <c r="BA126" i="1"/>
  <c r="AZ136" i="1"/>
  <c r="BA135" i="1"/>
  <c r="AZ60" i="1"/>
  <c r="BA59" i="1"/>
  <c r="AZ44" i="1"/>
  <c r="BA43" i="1"/>
  <c r="AZ123" i="1"/>
  <c r="BA122" i="1"/>
  <c r="BA86" i="1"/>
  <c r="AZ87" i="1"/>
  <c r="BA54" i="1"/>
  <c r="AZ55" i="1"/>
  <c r="AZ3" i="1"/>
  <c r="BA2" i="1"/>
  <c r="AZ240" i="1"/>
  <c r="BA239" i="1"/>
  <c r="AZ204" i="1"/>
  <c r="BA203" i="1"/>
  <c r="AZ245" i="1"/>
  <c r="BA244" i="1"/>
  <c r="AZ38" i="1"/>
  <c r="BA37" i="1"/>
  <c r="AZ90" i="1"/>
  <c r="BA89" i="1"/>
  <c r="AZ226" i="1"/>
  <c r="BA225" i="1"/>
  <c r="AZ39" i="1"/>
  <c r="BA38" i="1"/>
  <c r="BA155" i="1"/>
  <c r="AZ156" i="1"/>
  <c r="AZ185" i="1"/>
  <c r="BA184" i="1"/>
  <c r="AZ173" i="1"/>
  <c r="BA172" i="1"/>
  <c r="AZ70" i="1"/>
  <c r="BA69" i="1"/>
  <c r="AZ120" i="1"/>
  <c r="BA119" i="1"/>
  <c r="AZ18" i="1"/>
  <c r="BA17" i="1"/>
  <c r="AZ96" i="1"/>
  <c r="BA95" i="1"/>
  <c r="AZ192" i="1"/>
  <c r="BA191" i="1"/>
  <c r="AZ113" i="1"/>
  <c r="BA112" i="1"/>
  <c r="BA80" i="1"/>
  <c r="AZ81" i="1"/>
  <c r="BA147" i="1"/>
  <c r="AZ148" i="1"/>
  <c r="AZ235" i="1"/>
  <c r="BA234" i="1"/>
  <c r="AZ195" i="1"/>
  <c r="BA194" i="1"/>
  <c r="AZ222" i="1"/>
  <c r="BA221" i="1"/>
  <c r="AZ211" i="1"/>
  <c r="BA210" i="1"/>
  <c r="AZ187" i="1"/>
  <c r="BA186" i="1"/>
  <c r="BA158" i="1"/>
  <c r="AZ159" i="1"/>
  <c r="AZ80" i="1"/>
  <c r="BA79" i="1"/>
  <c r="AZ22" i="1"/>
  <c r="BA21" i="1"/>
  <c r="BA183" i="1"/>
  <c r="AZ184" i="1"/>
  <c r="AZ243" i="1"/>
  <c r="BA242" i="1"/>
  <c r="AZ217" i="1"/>
  <c r="BA216" i="1"/>
  <c r="AZ181" i="1"/>
  <c r="BA180" i="1"/>
  <c r="AZ157" i="1"/>
  <c r="BA156" i="1"/>
  <c r="AZ134" i="1"/>
  <c r="BA133" i="1"/>
  <c r="AZ118" i="1"/>
  <c r="BA117" i="1"/>
  <c r="AZ98" i="1"/>
  <c r="BA97" i="1"/>
  <c r="AZ54" i="1"/>
  <c r="BA53" i="1"/>
  <c r="AZ9" i="1"/>
  <c r="BA8" i="1"/>
  <c r="AZ139" i="1"/>
  <c r="BA138" i="1"/>
  <c r="AZ218" i="1"/>
  <c r="BA217" i="1"/>
  <c r="AZ141" i="1"/>
  <c r="BA140" i="1"/>
  <c r="AZ125" i="1"/>
  <c r="BA124" i="1"/>
  <c r="AZ101" i="1"/>
  <c r="BA100" i="1"/>
  <c r="BA68" i="1"/>
  <c r="AZ69" i="1"/>
  <c r="BA52" i="1"/>
  <c r="AZ53" i="1"/>
  <c r="AZ33" i="1"/>
  <c r="BA32" i="1"/>
  <c r="AZ131" i="1"/>
  <c r="BA130" i="1"/>
  <c r="AZ140" i="1"/>
  <c r="BA139" i="1"/>
  <c r="AZ88" i="1"/>
  <c r="BA87" i="1"/>
  <c r="AZ64" i="1"/>
  <c r="BA63" i="1"/>
  <c r="AZ48" i="1"/>
  <c r="BA47" i="1"/>
  <c r="AZ32" i="1"/>
  <c r="BA31" i="1"/>
  <c r="AZ247" i="1"/>
  <c r="BA246" i="1"/>
  <c r="AZ95" i="1"/>
  <c r="BA94" i="1"/>
  <c r="BA62" i="1"/>
  <c r="AZ63" i="1"/>
  <c r="AZ27" i="1"/>
  <c r="BA26" i="1"/>
  <c r="AZ248" i="1"/>
  <c r="BA247" i="1"/>
  <c r="AZ216" i="1"/>
  <c r="BA215" i="1"/>
  <c r="BA179" i="1"/>
  <c r="AZ180" i="1"/>
  <c r="BA167" i="1"/>
  <c r="AZ168" i="1"/>
  <c r="AZ99" i="1"/>
  <c r="BA98" i="1"/>
  <c r="BA66" i="1"/>
  <c r="AZ67" i="1"/>
  <c r="AZ7" i="1"/>
  <c r="BA6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V81" i="1"/>
  <c r="U81" i="1"/>
</calcChain>
</file>

<file path=xl/sharedStrings.xml><?xml version="1.0" encoding="utf-8"?>
<sst xmlns="http://schemas.openxmlformats.org/spreadsheetml/2006/main" count="305" uniqueCount="305">
  <si>
    <t>wara</t>
  </si>
  <si>
    <t>tb3</t>
  </si>
  <si>
    <t>romerexog</t>
  </si>
  <si>
    <t>amtbr</t>
  </si>
  <si>
    <t>lrgov</t>
  </si>
  <si>
    <t>lrgdp</t>
  </si>
  <si>
    <t>lrcndsv</t>
  </si>
  <si>
    <t>lrinvfx</t>
  </si>
  <si>
    <t>ltothourses</t>
  </si>
  <si>
    <t>lrwbus</t>
  </si>
  <si>
    <t>trend</t>
  </si>
  <si>
    <t>trend2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</si>
  <si>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</si>
  <si>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</si>
  <si>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</si>
  <si>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</si>
  <si>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</si>
  <si>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</si>
  <si>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</si>
  <si>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</si>
  <si>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</si>
  <si>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</si>
  <si>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</si>
  <si>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</si>
  <si>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</si>
  <si>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</si>
  <si>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</si>
  <si>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</si>
  <si>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</si>
  <si>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</si>
  <si>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</si>
  <si>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</si>
  <si>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</si>
  <si>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</si>
  <si>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</si>
  <si>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</si>
  <si>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</si>
  <si>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</si>
  <si>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</si>
  <si>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</si>
  <si>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</si>
  <si>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</si>
  <si>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</si>
  <si>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</si>
  <si>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</si>
  <si>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</si>
  <si>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</si>
  <si>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</si>
  <si>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</si>
  <si>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</si>
  <si>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</si>
  <si>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</si>
  <si>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</si>
  <si>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</si>
  <si>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</si>
  <si>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</si>
  <si>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</si>
  <si>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</si>
  <si>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</si>
  <si>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</si>
  <si>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</si>
  <si>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</si>
  <si>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</si>
  <si>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</si>
  <si>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</si>
  <si>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</si>
  <si>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</si>
  <si>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</si>
  <si>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</si>
  <si>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</si>
  <si>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</si>
  <si>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</si>
  <si>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</si>
  <si>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</si>
  <si>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</si>
  <si>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</si>
  <si>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</si>
  <si>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</si>
  <si>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</si>
  <si>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</si>
  <si>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</si>
  <si>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</si>
  <si>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</si>
  <si>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</si>
  <si>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</si>
  <si>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</si>
  <si>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</si>
  <si>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</si>
  <si>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</si>
  <si>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</si>
  <si>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</si>
  <si>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</si>
  <si>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</si>
  <si>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</si>
  <si>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</si>
  <si>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</si>
  <si>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</si>
  <si>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</si>
  <si>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</si>
  <si>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</si>
  <si>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</si>
  <si>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</si>
  <si>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</si>
  <si>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</si>
  <si>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</si>
  <si>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</si>
  <si>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</si>
  <si>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</si>
  <si>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</si>
  <si>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</si>
  <si>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</si>
  <si>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</si>
  <si>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</si>
  <si>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</si>
  <si>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</si>
  <si>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</si>
  <si>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</si>
  <si>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</si>
  <si>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</si>
  <si>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</si>
  <si>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</si>
  <si>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</si>
  <si>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</si>
  <si>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</si>
  <si>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</si>
  <si>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</si>
  <si>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</si>
  <si>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</si>
  <si>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</si>
  <si>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</si>
  <si>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</si>
  <si>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</si>
  <si>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</si>
  <si>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</si>
  <si>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</si>
  <si>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</si>
  <si>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</si>
  <si>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</si>
  <si>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</si>
  <si>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</si>
  <si>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</si>
  <si>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</si>
  <si>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</si>
  <si>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</si>
  <si>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</si>
  <si>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</si>
  <si>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</si>
  <si>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</si>
  <si>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</si>
  <si>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</si>
  <si>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</si>
  <si>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</si>
  <si>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</si>
  <si>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</si>
  <si>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</si>
  <si>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</si>
  <si>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</si>
  <si>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</si>
  <si>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</si>
  <si>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</si>
  <si>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</si>
  <si>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</si>
  <si>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</si>
  <si>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</si>
  <si>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</si>
  <si>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</si>
  <si>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</si>
  <si>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</si>
  <si>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</si>
  <si>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</si>
  <si>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</si>
  <si>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</si>
  <si>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</si>
  <si>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</si>
  <si>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</si>
  <si>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</si>
  <si>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</si>
  <si>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</si>
  <si>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</si>
  <si>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</si>
  <si>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</si>
  <si>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</si>
  <si>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</si>
  <si>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</si>
  <si>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</si>
  <si>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</si>
  <si>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</si>
  <si>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</si>
  <si>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</si>
  <si>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</si>
  <si>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</si>
  <si>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</si>
  <si>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</si>
  <si>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</si>
  <si>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</si>
  <si>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</si>
  <si>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</si>
  <si>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</si>
  <si>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</si>
  <si>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</si>
  <si>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</si>
  <si>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</si>
  <si>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</si>
  <si>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</si>
  <si>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</si>
  <si>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</si>
  <si>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</si>
  <si>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</si>
  <si>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</si>
  <si>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</si>
  <si>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</si>
  <si>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</si>
  <si>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</si>
  <si>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</si>
  <si>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</si>
  <si>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</si>
  <si>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</si>
  <si>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</si>
  <si>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</si>
  <si>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</si>
  <si>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</si>
  <si>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</si>
  <si>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</si>
  <si>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</si>
  <si>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</si>
  <si>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</si>
  <si>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</si>
  <si>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</si>
  <si>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</si>
  <si>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</si>
  <si>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</si>
  <si>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</si>
  <si>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</si>
  <si>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</si>
  <si>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</si>
  <si>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</si>
  <si>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</si>
  <si>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</si>
  <si>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</si>
  <si>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</si>
  <si>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</si>
  <si>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</si>
  <si>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</si>
  <si>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</si>
  <si>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</si>
  <si>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</si>
  <si>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</si>
  <si>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</si>
  <si>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</si>
  <si>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</si>
  <si>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</si>
  <si>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</si>
  <si>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</si>
  <si>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</si>
  <si>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</si>
  <si>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</si>
  <si>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</si>
  <si>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</si>
  <si>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</si>
  <si>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</si>
  <si>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pdvmily</t>
  </si>
  <si>
    <t>lrcnd</t>
  </si>
  <si>
    <t>lrcsv</t>
  </si>
  <si>
    <t>lrcdur</t>
  </si>
  <si>
    <t>spfshock1</t>
  </si>
  <si>
    <t>n13</t>
  </si>
  <si>
    <t>n12</t>
  </si>
  <si>
    <t>dggorod</t>
  </si>
  <si>
    <t>fegorod</t>
  </si>
  <si>
    <t>f3</t>
  </si>
  <si>
    <t>lrcons2012</t>
  </si>
  <si>
    <t>GDP</t>
  </si>
  <si>
    <t>DebtGDP</t>
  </si>
  <si>
    <t>Govspen</t>
  </si>
  <si>
    <t>Govrec</t>
  </si>
  <si>
    <t>f0</t>
  </si>
  <si>
    <t>f1</t>
  </si>
  <si>
    <t>f2</t>
  </si>
  <si>
    <t>f4</t>
  </si>
  <si>
    <t>F01</t>
  </si>
  <si>
    <t>F02</t>
  </si>
  <si>
    <t>F03</t>
  </si>
  <si>
    <t>F04</t>
  </si>
  <si>
    <t>F12</t>
  </si>
  <si>
    <t>F13</t>
  </si>
  <si>
    <t>F14</t>
  </si>
  <si>
    <t>F23</t>
  </si>
  <si>
    <t>F24</t>
  </si>
  <si>
    <t>F34</t>
  </si>
  <si>
    <t>n12cum</t>
  </si>
  <si>
    <t>n13cum</t>
  </si>
  <si>
    <t>dggorod_100</t>
  </si>
  <si>
    <t>fegorod_100</t>
  </si>
  <si>
    <t>lrealdebt</t>
  </si>
  <si>
    <t>cpi</t>
  </si>
  <si>
    <t>l_cpi</t>
  </si>
  <si>
    <t>f4dep</t>
  </si>
  <si>
    <t>infl_cpi_qoq</t>
  </si>
  <si>
    <t>rrate_qoq</t>
  </si>
  <si>
    <t>rrate_qoq_p1</t>
  </si>
  <si>
    <t>defl</t>
  </si>
  <si>
    <t>FisherPeters</t>
  </si>
  <si>
    <t>baa</t>
  </si>
  <si>
    <t>rrate_baa_qoq</t>
  </si>
  <si>
    <t>rrate_baa_qoq_p1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</si>
</sst>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Normal 2" xfId="1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BC115" sqref="BC115"/>
    </sheetView>
  </sheetViews>
  <sheetFormatPr defaultRowHeight="15" x14ac:dyDescent="0.25"/>
  <cols>
    <col min="1" max="1" width="9.140625" customWidth="1"/>
    <col min="15" max="15" width="12.28515625" customWidth="1"/>
    <col min="16" max="16" width="12.85546875" customWidth="1"/>
    <col min="17" max="17" width="17" customWidth="1"/>
    <col min="23" max="23" width="20.28515625" customWidth="1"/>
    <col min="24" max="24" width="8.85546875" customWidth="1"/>
    <col min="48" max="48" width="9.140625" style="5" customWidth="1"/>
    <col min="51" max="53" width="9.140625" style="5"/>
  </cols>
  <sheetData>
    <row r="1" spans="1:58" s="10" customFormat="1" ht="45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260</v>
      </c>
      <c r="O1" s="8" t="s">
        <v>261</v>
      </c>
      <c r="P1" s="8" t="s">
        <v>262</v>
      </c>
      <c r="Q1" s="8" t="s">
        <v>263</v>
      </c>
      <c r="R1" s="8" t="s">
        <v>264</v>
      </c>
      <c r="S1" s="8" t="s">
        <v>267</v>
      </c>
      <c r="T1" s="8" t="s">
        <v>268</v>
      </c>
      <c r="U1" s="8" t="s">
        <v>291</v>
      </c>
      <c r="V1" s="8" t="s">
        <v>292</v>
      </c>
      <c r="W1" s="8" t="s">
        <v>270</v>
      </c>
      <c r="X1" s="3" t="s">
        <v>273</v>
      </c>
      <c r="Y1" s="3" t="s">
        <v>274</v>
      </c>
      <c r="Z1" s="3" t="s">
        <v>271</v>
      </c>
      <c r="AA1" s="3" t="s">
        <v>272</v>
      </c>
      <c r="AB1" s="8" t="s">
        <v>275</v>
      </c>
      <c r="AC1" s="8" t="s">
        <v>276</v>
      </c>
      <c r="AD1" s="8" t="s">
        <v>277</v>
      </c>
      <c r="AE1" s="8" t="s">
        <v>269</v>
      </c>
      <c r="AF1" s="8" t="s">
        <v>278</v>
      </c>
      <c r="AG1" s="8" t="s">
        <v>279</v>
      </c>
      <c r="AH1" s="8" t="s">
        <v>280</v>
      </c>
      <c r="AI1" s="8" t="s">
        <v>281</v>
      </c>
      <c r="AJ1" s="8" t="s">
        <v>282</v>
      </c>
      <c r="AK1" s="8" t="s">
        <v>283</v>
      </c>
      <c r="AL1" s="8" t="s">
        <v>284</v>
      </c>
      <c r="AM1" s="8" t="s">
        <v>285</v>
      </c>
      <c r="AN1" s="8" t="s">
        <v>286</v>
      </c>
      <c r="AO1" s="8" t="s">
        <v>287</v>
      </c>
      <c r="AP1" s="8" t="s">
        <v>288</v>
      </c>
      <c r="AQ1" s="8" t="s">
        <v>266</v>
      </c>
      <c r="AR1" s="8" t="s">
        <v>265</v>
      </c>
      <c r="AS1" s="8" t="s">
        <v>289</v>
      </c>
      <c r="AT1" s="8" t="s">
        <v>290</v>
      </c>
      <c r="AU1" s="8" t="s">
        <v>293</v>
      </c>
      <c r="AV1" s="9" t="s">
        <v>300</v>
      </c>
      <c r="AW1" s="8" t="s">
        <v>294</v>
      </c>
      <c r="AX1" s="8" t="s">
        <v>295</v>
      </c>
      <c r="AY1" s="9" t="s">
        <v>297</v>
      </c>
      <c r="AZ1" s="9" t="s">
        <v>298</v>
      </c>
      <c r="BA1" s="9" t="s">
        <v>299</v>
      </c>
      <c r="BB1" s="11" t="s">
        <v>301</v>
      </c>
      <c r="BC1" s="8" t="s">
        <v>296</v>
      </c>
      <c r="BD1" s="8" t="s">
        <v>302</v>
      </c>
      <c r="BE1" s="9" t="s">
        <v>303</v>
      </c>
      <c r="BF1" s="9" t="s">
        <v>304</v>
      </c>
    </row>
    <row r="2" spans="1:58" x14ac:dyDescent="0.25">
      <c r="A2" t="s">
        <v>12</v>
      </c>
      <c r="B2">
        <v>0</v>
      </c>
      <c r="C2">
        <v>0.37999999499999998</v>
      </c>
      <c r="D2">
        <v>0</v>
      </c>
      <c r="E2">
        <v>0.23800000499999999</v>
      </c>
      <c r="F2">
        <v>2.8439787183264542</v>
      </c>
      <c r="G2">
        <v>2.6406275247847759</v>
      </c>
      <c r="H2">
        <v>2.713344160007586</v>
      </c>
      <c r="I2">
        <v>2.2331278279788243</v>
      </c>
      <c r="J2">
        <v>4.8023102551176882</v>
      </c>
      <c r="K2">
        <v>-1.0757923403791816</v>
      </c>
      <c r="L2">
        <v>1</v>
      </c>
      <c r="M2">
        <v>1</v>
      </c>
      <c r="N2">
        <v>0</v>
      </c>
      <c r="O2" s="4">
        <v>3.0708861271544152</v>
      </c>
      <c r="P2" s="4">
        <v>2.4612114562764651</v>
      </c>
      <c r="Q2" s="4">
        <v>1.5133674436833666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7150663809825030</v>
      </c>
      <c r="X2" s="2">
        <v>5.4266276480000002</v>
      </c>
      <c r="Y2" s="2">
        <v>5.9018623259999998</v>
      </c>
      <c r="Z2" s="2">
        <v>7.5666215259999996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>
        <v>2.75784828860693</v>
      </c>
      <c r="AV2" s="5">
        <v>16.916274430000001</v>
      </c>
      <c r="AW2" s="6">
        <v>21.7</v>
      </c>
      <c r="AX2" s="6">
        <f t="shared" ref="AX2:AX65" si="0">LN(AW2)</f>
        <v>3.0773122605464138</v>
      </c>
      <c r="AY2" s="5">
        <v>0</v>
      </c>
      <c r="AZ2" s="5">
        <f>$C2-AY2</f>
        <v>0.37999999499999998</v>
      </c>
      <c r="BA2" s="5">
        <f>$C2-AY3</f>
        <v>-5.2938540017826181</v>
      </c>
      <c r="BB2">
        <v>0</v>
      </c>
      <c r="BC2">
        <v>0</v>
      </c>
      <c r="BD2">
        <v>3.1333334449999999</v>
      </c>
      <c r="BE2" s="5">
        <f>BD2-AY2</f>
        <v>3.1333334449999999</v>
      </c>
      <c r="BF2" s="5">
        <f>BD2-AY3</f>
        <v>-2.5405205517826186</v>
      </c>
    </row>
    <row r="3" spans="1:58" x14ac:dyDescent="0.25">
      <c r="A3" t="s">
        <v>13</v>
      </c>
      <c r="B3">
        <v>0</v>
      </c>
      <c r="C3">
        <v>0.37999999499999998</v>
      </c>
      <c r="D3">
        <v>0</v>
      </c>
      <c r="E3">
        <v>0.23800000499999999</v>
      </c>
      <c r="F3">
        <v>2.850301795343785</v>
      </c>
      <c r="G3">
        <v>2.6391287556357881</v>
      </c>
      <c r="H3">
        <v>2.7288322296740959</v>
      </c>
      <c r="I3">
        <v>2.2062944326757594</v>
      </c>
      <c r="J3">
        <v>4.7965488885605296</v>
      </c>
      <c r="K3">
        <v>-1.0659610861905056</v>
      </c>
      <c r="L3">
        <v>2</v>
      </c>
      <c r="M3">
        <v>4</v>
      </c>
      <c r="N3">
        <v>3.2883642495784147E-2</v>
      </c>
      <c r="O3" s="4">
        <v>3.0878555624297968</v>
      </c>
      <c r="P3" s="4">
        <v>2.4755294879754035</v>
      </c>
      <c r="Q3" s="4">
        <v>1.5340676054093236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7167163640608570</v>
      </c>
      <c r="X3" s="2">
        <v>5.4194654330000001</v>
      </c>
      <c r="Y3" s="2">
        <v>5.878997762</v>
      </c>
      <c r="Z3" s="2">
        <v>7.5654825140000002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>
        <v>2.7373088111943802</v>
      </c>
      <c r="AV3" s="5">
        <v>17.17020213</v>
      </c>
      <c r="AW3" s="6">
        <v>22.01</v>
      </c>
      <c r="AX3" s="6">
        <f t="shared" si="0"/>
        <v>3.0914968955383704</v>
      </c>
      <c r="AY3" s="5">
        <f>400*(AX3-AX2)</f>
        <v>5.6738539967826185</v>
      </c>
      <c r="AZ3" s="5">
        <f t="shared" ref="AZ3:AZ66" si="1">$C3-AY3</f>
        <v>-5.2938540017826181</v>
      </c>
      <c r="BA3" s="5">
        <f>$C3-AY4</f>
        <v>-8.2495481781415432</v>
      </c>
      <c r="BB3">
        <v>-0.207285</v>
      </c>
      <c r="BC3">
        <v>0</v>
      </c>
      <c r="BD3">
        <v>3.1800000669999999</v>
      </c>
      <c r="BE3" s="5">
        <f>BD3-AY3</f>
        <v>-2.4938539297826186</v>
      </c>
      <c r="BF3" s="5">
        <f>BD3-AY4</f>
        <v>-5.4495481061415436</v>
      </c>
    </row>
    <row r="4" spans="1:58" x14ac:dyDescent="0.25">
      <c r="A4" t="s">
        <v>14</v>
      </c>
      <c r="B4">
        <v>0</v>
      </c>
      <c r="C4">
        <v>0.73666667900000005</v>
      </c>
      <c r="D4">
        <v>0</v>
      </c>
      <c r="E4">
        <v>0.23800000499999999</v>
      </c>
      <c r="F4">
        <v>2.8593969535967343</v>
      </c>
      <c r="G4">
        <v>2.6382713064942935</v>
      </c>
      <c r="H4">
        <v>2.730453498624033</v>
      </c>
      <c r="I4">
        <v>2.2396452932201716</v>
      </c>
      <c r="J4">
        <v>4.8043237587468113</v>
      </c>
      <c r="K4">
        <v>-1.0834126843177754</v>
      </c>
      <c r="L4">
        <v>3</v>
      </c>
      <c r="M4">
        <v>9</v>
      </c>
      <c r="N4">
        <v>0</v>
      </c>
      <c r="O4" s="4">
        <v>3.0924959419862992</v>
      </c>
      <c r="P4" s="4">
        <v>2.4733400134165349</v>
      </c>
      <c r="Q4" s="4">
        <v>1.5479879501178777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7170417960457300</v>
      </c>
      <c r="X4" s="2">
        <v>5.381853166</v>
      </c>
      <c r="Y4" s="2">
        <v>5.7633936879999998</v>
      </c>
      <c r="Z4" s="2">
        <v>7.5644459230000001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>
        <v>2.7225523065362802</v>
      </c>
      <c r="AV4" s="5">
        <v>17.47801844</v>
      </c>
      <c r="AW4" s="6">
        <v>22.49</v>
      </c>
      <c r="AX4" s="6">
        <f t="shared" si="0"/>
        <v>3.1130707659712242</v>
      </c>
      <c r="AY4" s="5">
        <f t="shared" ref="AY4:AY67" si="2">400*(AX4-AX3)</f>
        <v>8.6295481731415435</v>
      </c>
      <c r="AZ4" s="5">
        <f t="shared" si="1"/>
        <v>-7.8928814941415437</v>
      </c>
      <c r="BA4" s="5">
        <f>$C4-AY5</f>
        <v>-10.429568081907833</v>
      </c>
      <c r="BB4">
        <v>-3.1828000000000002E-2</v>
      </c>
      <c r="BC4">
        <v>0</v>
      </c>
      <c r="BD4">
        <v>3.193333387</v>
      </c>
      <c r="BE4" s="5">
        <f>BD4-AY4</f>
        <v>-5.4362147861415435</v>
      </c>
      <c r="BF4" s="5">
        <f>BD4-AY5</f>
        <v>-7.9729013739078338</v>
      </c>
    </row>
    <row r="5" spans="1:58" x14ac:dyDescent="0.25">
      <c r="A5" t="s">
        <v>15</v>
      </c>
      <c r="B5">
        <v>0</v>
      </c>
      <c r="C5">
        <v>0.90666669600000005</v>
      </c>
      <c r="D5">
        <v>0</v>
      </c>
      <c r="E5">
        <v>0.23800000499999999</v>
      </c>
      <c r="F5">
        <v>2.8445023242377103</v>
      </c>
      <c r="G5">
        <v>2.653382799759902</v>
      </c>
      <c r="H5">
        <v>2.7214559800946088</v>
      </c>
      <c r="I5">
        <v>2.3239551187302383</v>
      </c>
      <c r="J5">
        <v>4.8106265588974644</v>
      </c>
      <c r="K5">
        <v>-1.0735346350866821</v>
      </c>
      <c r="L5">
        <v>4</v>
      </c>
      <c r="M5">
        <v>16</v>
      </c>
      <c r="N5">
        <v>0</v>
      </c>
      <c r="O5" s="4">
        <v>3.0792918666529219</v>
      </c>
      <c r="P5" s="4">
        <v>2.4681842736436117</v>
      </c>
      <c r="Q5" s="4">
        <v>1.6110366337977975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7170735507550930</v>
      </c>
      <c r="X5" s="2">
        <v>5.3716402780000001</v>
      </c>
      <c r="Y5" s="2">
        <v>5.8662512360000001</v>
      </c>
      <c r="Z5" s="2">
        <v>7.5800873199999996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>
        <v>2.6740101122975002</v>
      </c>
      <c r="AV5" s="5">
        <v>17.90592874</v>
      </c>
      <c r="AW5" s="6">
        <v>23.126666666666665</v>
      </c>
      <c r="AX5" s="6">
        <f t="shared" si="0"/>
        <v>3.1409863528734938</v>
      </c>
      <c r="AY5" s="5">
        <f t="shared" si="2"/>
        <v>11.166234760907834</v>
      </c>
      <c r="AZ5" s="5">
        <f t="shared" si="1"/>
        <v>-10.259568064907834</v>
      </c>
      <c r="BA5" s="5">
        <f>$C5-AY6</f>
        <v>-7.4798631420343842</v>
      </c>
      <c r="BB5">
        <v>-4.7345999999999999E-2</v>
      </c>
      <c r="BC5">
        <v>0</v>
      </c>
      <c r="BD5">
        <v>3.436666727</v>
      </c>
      <c r="BE5" s="5">
        <f>BD5-AY5</f>
        <v>-7.7295680339078334</v>
      </c>
      <c r="BF5" s="5">
        <f>BD5-AY6</f>
        <v>-4.949863111034384</v>
      </c>
    </row>
    <row r="6" spans="1:58" x14ac:dyDescent="0.25">
      <c r="A6" t="s">
        <v>16</v>
      </c>
      <c r="B6">
        <v>0</v>
      </c>
      <c r="C6">
        <v>0.99000001000000004</v>
      </c>
      <c r="D6">
        <v>0</v>
      </c>
      <c r="E6">
        <v>0.193000004</v>
      </c>
      <c r="F6">
        <v>2.8641418531663936</v>
      </c>
      <c r="G6">
        <v>2.6691014509636353</v>
      </c>
      <c r="H6">
        <v>2.726966087647575</v>
      </c>
      <c r="I6">
        <v>2.3571679707643374</v>
      </c>
      <c r="J6">
        <v>4.8029795189269517</v>
      </c>
      <c r="K6">
        <v>-1.0666326198186775</v>
      </c>
      <c r="L6">
        <v>5</v>
      </c>
      <c r="M6">
        <v>25</v>
      </c>
      <c r="N6">
        <v>7.0782540306724342E-3</v>
      </c>
      <c r="O6" s="4">
        <v>3.0825519655065512</v>
      </c>
      <c r="P6" s="4">
        <v>2.4788047375965321</v>
      </c>
      <c r="Q6" s="4">
        <v>1.6058314168399888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7175706216582090</v>
      </c>
      <c r="X6" s="2">
        <v>5.4183545970000004</v>
      </c>
      <c r="Y6" s="2">
        <v>5.8733454329999999</v>
      </c>
      <c r="Z6" s="2">
        <v>7.5946831599999998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>
        <v>2.6524440834755998</v>
      </c>
      <c r="AV6" s="5">
        <v>18.042559090000001</v>
      </c>
      <c r="AW6" s="6">
        <v>23.616666666666667</v>
      </c>
      <c r="AX6" s="6">
        <f t="shared" si="0"/>
        <v>3.1619526774685798</v>
      </c>
      <c r="AY6" s="5">
        <f t="shared" si="2"/>
        <v>8.3865298380343845</v>
      </c>
      <c r="AZ6" s="5">
        <f t="shared" si="1"/>
        <v>-7.3965298280343843</v>
      </c>
      <c r="BA6" s="5">
        <f>$C6-AY7</f>
        <v>-5.3393345956781273</v>
      </c>
      <c r="BB6">
        <v>0.207542</v>
      </c>
      <c r="BC6">
        <v>0</v>
      </c>
      <c r="BD6">
        <v>3.5266666409999998</v>
      </c>
      <c r="BE6" s="5">
        <f>BD6-AY6</f>
        <v>-4.8598631970343842</v>
      </c>
      <c r="BF6" s="5">
        <f>BD6-AY7</f>
        <v>-2.8026679646781276</v>
      </c>
    </row>
    <row r="7" spans="1:58" x14ac:dyDescent="0.25">
      <c r="A7" t="s">
        <v>17</v>
      </c>
      <c r="B7">
        <v>0</v>
      </c>
      <c r="C7">
        <v>1</v>
      </c>
      <c r="D7">
        <v>-5</v>
      </c>
      <c r="E7">
        <v>0.193000004</v>
      </c>
      <c r="F7">
        <v>2.911154297078693</v>
      </c>
      <c r="G7">
        <v>2.6873711898938093</v>
      </c>
      <c r="H7">
        <v>2.7399370886598837</v>
      </c>
      <c r="I7">
        <v>2.356220642159955</v>
      </c>
      <c r="J7">
        <v>4.8051269903269658</v>
      </c>
      <c r="K7">
        <v>-1.0619084269415338</v>
      </c>
      <c r="L7">
        <v>6</v>
      </c>
      <c r="M7">
        <v>36</v>
      </c>
      <c r="N7">
        <v>1.3446023818670765E-2</v>
      </c>
      <c r="O7" s="4">
        <v>3.0922689736020206</v>
      </c>
      <c r="P7" s="4">
        <v>2.4943618085587556</v>
      </c>
      <c r="Q7" s="4">
        <v>1.6126328033306196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7187274626860150</v>
      </c>
      <c r="X7" s="2">
        <v>5.4829801229999999</v>
      </c>
      <c r="Y7" s="2">
        <v>5.843340575</v>
      </c>
      <c r="Z7" s="2">
        <v>7.6108032840000002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>
        <v>2.6422219762147301</v>
      </c>
      <c r="AV7" s="5">
        <v>18.192336489999999</v>
      </c>
      <c r="AW7" s="6">
        <v>23.993333333333332</v>
      </c>
      <c r="AX7" s="6">
        <f t="shared" si="0"/>
        <v>3.1777760139827751</v>
      </c>
      <c r="AY7" s="5">
        <f t="shared" si="2"/>
        <v>6.3293346056781274</v>
      </c>
      <c r="AZ7" s="5">
        <f t="shared" si="1"/>
        <v>-5.3293346056781274</v>
      </c>
      <c r="BA7" s="5">
        <f>$C7-AY8</f>
        <v>-5.6681987849003477</v>
      </c>
      <c r="BB7">
        <v>0.161663</v>
      </c>
      <c r="BC7">
        <v>0</v>
      </c>
      <c r="BD7">
        <v>3.396666765</v>
      </c>
      <c r="BE7" s="5">
        <f>BD7-AY7</f>
        <v>-2.9326678406781275</v>
      </c>
      <c r="BF7" s="5">
        <f>BD7-AY8</f>
        <v>-3.2715320199003477</v>
      </c>
    </row>
    <row r="8" spans="1:58" x14ac:dyDescent="0.25">
      <c r="A8" t="s">
        <v>18</v>
      </c>
      <c r="B8">
        <v>0</v>
      </c>
      <c r="C8">
        <v>1.0499999520000001</v>
      </c>
      <c r="D8">
        <v>0</v>
      </c>
      <c r="E8">
        <v>0.193000004</v>
      </c>
      <c r="F8">
        <v>2.9303934322456509</v>
      </c>
      <c r="G8">
        <v>2.6927334969903169</v>
      </c>
      <c r="H8">
        <v>2.7391724691669919</v>
      </c>
      <c r="I8">
        <v>2.3454529932212216</v>
      </c>
      <c r="J8">
        <v>4.8161682789186298</v>
      </c>
      <c r="K8">
        <v>-1.0524073358167154</v>
      </c>
      <c r="L8">
        <v>7</v>
      </c>
      <c r="M8">
        <v>49</v>
      </c>
      <c r="N8">
        <v>0</v>
      </c>
      <c r="O8" s="4">
        <v>3.0861212732816719</v>
      </c>
      <c r="P8" s="4">
        <v>2.4997131571049733</v>
      </c>
      <c r="Q8" s="4">
        <v>1.62924053973028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7188749537779070</v>
      </c>
      <c r="X8" s="2">
        <v>5.5185497080000001</v>
      </c>
      <c r="Y8" s="2">
        <v>5.8228566659999998</v>
      </c>
      <c r="Z8" s="2">
        <v>7.6163820299999996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>
        <v>2.6227749084766101</v>
      </c>
      <c r="AV8" s="5">
        <v>18.53506634</v>
      </c>
      <c r="AW8" s="6">
        <v>24.396666666666668</v>
      </c>
      <c r="AX8" s="6">
        <f t="shared" si="0"/>
        <v>3.194446510945026</v>
      </c>
      <c r="AY8" s="5">
        <f t="shared" si="2"/>
        <v>6.6681987849003477</v>
      </c>
      <c r="AZ8" s="5">
        <f t="shared" si="1"/>
        <v>-5.6181988329003474</v>
      </c>
      <c r="BA8" s="5">
        <f>$C8-AY9</f>
        <v>4.7285654425941104</v>
      </c>
      <c r="BB8">
        <v>0.14043</v>
      </c>
      <c r="BC8">
        <v>0</v>
      </c>
      <c r="BD8">
        <v>3.420000076</v>
      </c>
      <c r="BE8" s="5">
        <f>BD8-AY8</f>
        <v>-3.2481987089003477</v>
      </c>
      <c r="BF8" s="5">
        <f>BD8-AY9</f>
        <v>7.0985655665941101</v>
      </c>
    </row>
    <row r="9" spans="1:58" x14ac:dyDescent="0.25">
      <c r="A9" t="s">
        <v>19</v>
      </c>
      <c r="B9">
        <v>0</v>
      </c>
      <c r="C9">
        <v>1.1399999860000001</v>
      </c>
      <c r="D9">
        <v>0</v>
      </c>
      <c r="E9">
        <v>0.193000004</v>
      </c>
      <c r="F9">
        <v>2.9715932577006652</v>
      </c>
      <c r="G9">
        <v>2.6942216931656762</v>
      </c>
      <c r="H9">
        <v>2.7503848289356445</v>
      </c>
      <c r="I9">
        <v>2.3337930201182391</v>
      </c>
      <c r="J9">
        <v>4.812403843478263</v>
      </c>
      <c r="K9">
        <v>-1.0315275472054415</v>
      </c>
      <c r="L9">
        <v>8</v>
      </c>
      <c r="M9">
        <v>64</v>
      </c>
      <c r="N9">
        <v>0</v>
      </c>
      <c r="O9" s="4">
        <v>3.0991008065310242</v>
      </c>
      <c r="P9" s="4">
        <v>2.5097618507861763</v>
      </c>
      <c r="Q9" s="4">
        <v>1.615022290728001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7196698555781250</v>
      </c>
      <c r="X9" s="2">
        <v>5.5775964870000001</v>
      </c>
      <c r="Y9" s="2">
        <v>5.8261674289999998</v>
      </c>
      <c r="Z9" s="2">
        <v>7.6174153679999996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>
        <v>2.6222644699291702</v>
      </c>
      <c r="AV9" s="5">
        <v>18.5953765</v>
      </c>
      <c r="AW9" s="6">
        <v>24.173333333333332</v>
      </c>
      <c r="AX9" s="6">
        <f t="shared" si="0"/>
        <v>3.1852500972185407</v>
      </c>
      <c r="AY9" s="5">
        <f t="shared" si="2"/>
        <v>-3.6785654905941101</v>
      </c>
      <c r="AZ9" s="5">
        <f t="shared" si="1"/>
        <v>4.8185654765941104</v>
      </c>
      <c r="BA9" s="5">
        <f>$C9-AY10</f>
        <v>4.9640679059761377</v>
      </c>
      <c r="BB9">
        <v>9.2370000000000004E-3</v>
      </c>
      <c r="BC9">
        <v>0</v>
      </c>
      <c r="BD9">
        <v>3.5199999809999998</v>
      </c>
      <c r="BE9" s="5">
        <f>BD9-AY9</f>
        <v>7.1985654715941099</v>
      </c>
      <c r="BF9" s="5">
        <f>BD9-AY10</f>
        <v>7.3440679009761372</v>
      </c>
    </row>
    <row r="10" spans="1:58" x14ac:dyDescent="0.25">
      <c r="A10" t="s">
        <v>20</v>
      </c>
      <c r="B10">
        <v>0</v>
      </c>
      <c r="C10">
        <v>1.1699999569999999</v>
      </c>
      <c r="D10">
        <v>0</v>
      </c>
      <c r="E10">
        <v>0.187000006</v>
      </c>
      <c r="F10">
        <v>2.9997740943803226</v>
      </c>
      <c r="G10">
        <v>2.6802678200897585</v>
      </c>
      <c r="H10">
        <v>2.75508305194192</v>
      </c>
      <c r="I10">
        <v>2.2749055238873033</v>
      </c>
      <c r="J10">
        <v>4.8008603171875892</v>
      </c>
      <c r="K10">
        <v>-1.0432569313825553</v>
      </c>
      <c r="L10">
        <v>9</v>
      </c>
      <c r="M10">
        <v>81</v>
      </c>
      <c r="N10">
        <v>0</v>
      </c>
      <c r="O10" s="4">
        <v>3.1028811890710339</v>
      </c>
      <c r="P10" s="4">
        <v>2.5160822672564502</v>
      </c>
      <c r="Q10" s="4">
        <v>1.5965552866030868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7198315954278360</v>
      </c>
      <c r="X10" s="2">
        <v>5.6362452080000001</v>
      </c>
      <c r="Y10" s="2">
        <v>5.7944692130000002</v>
      </c>
      <c r="Z10" s="2">
        <v>7.6036985469999996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>
        <v>2.6254387095354499</v>
      </c>
      <c r="AV10" s="5">
        <v>18.500239910000001</v>
      </c>
      <c r="AW10" s="6">
        <v>23.943333333333332</v>
      </c>
      <c r="AX10" s="6">
        <f t="shared" si="0"/>
        <v>3.1756899274186003</v>
      </c>
      <c r="AY10" s="5">
        <f t="shared" si="2"/>
        <v>-3.8240679199761374</v>
      </c>
      <c r="AZ10" s="5">
        <f t="shared" si="1"/>
        <v>4.9940678769761373</v>
      </c>
      <c r="BA10" s="5">
        <f>$C10-AY11</f>
        <v>1.615744535791718</v>
      </c>
      <c r="BB10">
        <v>0.118712</v>
      </c>
      <c r="BC10">
        <v>0</v>
      </c>
      <c r="BD10">
        <v>3.460000038</v>
      </c>
      <c r="BE10" s="5">
        <f>BD10-AY10</f>
        <v>7.2840679579761378</v>
      </c>
      <c r="BF10" s="5">
        <f>BD10-AY11</f>
        <v>3.905744616791718</v>
      </c>
    </row>
    <row r="11" spans="1:58" x14ac:dyDescent="0.25">
      <c r="A11" t="s">
        <v>21</v>
      </c>
      <c r="B11">
        <v>0</v>
      </c>
      <c r="C11">
        <v>1.1699999569999999</v>
      </c>
      <c r="D11">
        <v>0</v>
      </c>
      <c r="E11">
        <v>0.187000006</v>
      </c>
      <c r="F11">
        <v>3.0440461338325417</v>
      </c>
      <c r="G11">
        <v>2.6766283310938701</v>
      </c>
      <c r="H11">
        <v>2.7591013051973925</v>
      </c>
      <c r="I11">
        <v>2.2426227518213628</v>
      </c>
      <c r="J11">
        <v>4.7939624293290031</v>
      </c>
      <c r="K11">
        <v>-1.0453934222117161</v>
      </c>
      <c r="L11">
        <v>10</v>
      </c>
      <c r="M11">
        <v>100</v>
      </c>
      <c r="N11">
        <v>0</v>
      </c>
      <c r="O11" s="4">
        <v>3.105617537083234</v>
      </c>
      <c r="P11" s="4">
        <v>2.521158215793494</v>
      </c>
      <c r="Q11" s="4">
        <v>1.6797099654194321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721352674728096</v>
      </c>
      <c r="X11" s="2">
        <v>5.7018433240000004</v>
      </c>
      <c r="Y11" s="2">
        <v>5.752153334</v>
      </c>
      <c r="Z11" s="2">
        <v>7.6003022790000001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>
        <v>2.64495233800963</v>
      </c>
      <c r="AV11" s="5">
        <v>18.313153549999999</v>
      </c>
      <c r="AW11" s="6">
        <v>23.916666666666668</v>
      </c>
      <c r="AX11" s="6">
        <f t="shared" si="0"/>
        <v>3.174575565971621</v>
      </c>
      <c r="AY11" s="5">
        <f t="shared" si="2"/>
        <v>-0.44574457879171803</v>
      </c>
      <c r="AZ11" s="5">
        <f t="shared" si="1"/>
        <v>1.615744535791718</v>
      </c>
      <c r="BA11" s="5">
        <f>$C11-AY12</f>
        <v>4.5290119985476931</v>
      </c>
      <c r="BB11">
        <v>-5.7609999999999996E-3</v>
      </c>
      <c r="BC11">
        <v>0</v>
      </c>
      <c r="BD11">
        <v>3.4566667080000002</v>
      </c>
      <c r="BE11" s="5">
        <f>BD11-AY11</f>
        <v>3.9024112867917182</v>
      </c>
      <c r="BF11" s="5">
        <f>BD11-AY12</f>
        <v>6.8156787495476934</v>
      </c>
    </row>
    <row r="12" spans="1:58" x14ac:dyDescent="0.25">
      <c r="A12" t="s">
        <v>22</v>
      </c>
      <c r="B12">
        <v>0</v>
      </c>
      <c r="C12">
        <v>1.043333292</v>
      </c>
      <c r="D12">
        <v>0</v>
      </c>
      <c r="E12">
        <v>0.187000006</v>
      </c>
      <c r="F12">
        <v>3.054048350376827</v>
      </c>
      <c r="G12">
        <v>2.6877794642598505</v>
      </c>
      <c r="H12">
        <v>2.7538334534846096</v>
      </c>
      <c r="I12">
        <v>2.2401776328654286</v>
      </c>
      <c r="J12">
        <v>4.7797031570067201</v>
      </c>
      <c r="K12">
        <v>-1.0236089989650512</v>
      </c>
      <c r="L12">
        <v>11</v>
      </c>
      <c r="M12">
        <v>121</v>
      </c>
      <c r="N12">
        <v>0</v>
      </c>
      <c r="O12" s="4">
        <v>3.0967533876127193</v>
      </c>
      <c r="P12" s="4">
        <v>2.5190665014347049</v>
      </c>
      <c r="Q12" s="4">
        <v>1.7263316639055997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7215792032202880</v>
      </c>
      <c r="X12" s="2">
        <v>5.7168603190000002</v>
      </c>
      <c r="Y12" s="2">
        <v>5.7408999380000001</v>
      </c>
      <c r="Z12" s="2">
        <v>7.6112487519999998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>
        <v>2.6704401681726599</v>
      </c>
      <c r="AV12" s="5">
        <v>18.205320090000001</v>
      </c>
      <c r="AW12" s="6">
        <v>23.716666666666665</v>
      </c>
      <c r="AX12" s="6">
        <f t="shared" si="0"/>
        <v>3.1661780358677518</v>
      </c>
      <c r="AY12" s="5">
        <f t="shared" si="2"/>
        <v>-3.3590120415476932</v>
      </c>
      <c r="AZ12" s="5">
        <f t="shared" si="1"/>
        <v>4.402345333547693</v>
      </c>
      <c r="BA12" s="5">
        <f>$C12-AY13</f>
        <v>2.0002042190045159</v>
      </c>
      <c r="BB12">
        <v>8.9499999999999996E-3</v>
      </c>
      <c r="BC12">
        <v>0</v>
      </c>
      <c r="BD12">
        <v>3.4100000860000002</v>
      </c>
      <c r="BE12" s="5">
        <f>BD12-AY12</f>
        <v>6.7690121275476933</v>
      </c>
      <c r="BF12" s="5">
        <f>BD12-AY13</f>
        <v>4.3668710130045163</v>
      </c>
    </row>
    <row r="13" spans="1:58" x14ac:dyDescent="0.25">
      <c r="A13" t="s">
        <v>23</v>
      </c>
      <c r="B13">
        <v>0</v>
      </c>
      <c r="C13">
        <v>1.0766667130000001</v>
      </c>
      <c r="D13">
        <v>0</v>
      </c>
      <c r="E13">
        <v>0.187000006</v>
      </c>
      <c r="F13">
        <v>3.0325462466767075</v>
      </c>
      <c r="G13">
        <v>2.6783467217287673</v>
      </c>
      <c r="H13">
        <v>2.7630773598008798</v>
      </c>
      <c r="I13">
        <v>2.2754194249212762</v>
      </c>
      <c r="J13">
        <v>4.7699979480794239</v>
      </c>
      <c r="K13">
        <v>-1.0087978183006219</v>
      </c>
      <c r="L13">
        <v>12</v>
      </c>
      <c r="M13">
        <v>144</v>
      </c>
      <c r="N13">
        <v>-7.4738415545590429E-3</v>
      </c>
      <c r="O13" s="4">
        <v>3.1129373644546958</v>
      </c>
      <c r="P13" s="4">
        <v>2.5220418564502602</v>
      </c>
      <c r="Q13" s="4">
        <v>1.7654154938884532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7230347344461650</v>
      </c>
      <c r="X13" s="2">
        <v>5.7088689180000003</v>
      </c>
      <c r="Y13" s="2">
        <v>5.7113168999999999</v>
      </c>
      <c r="Z13" s="2">
        <v>7.602251549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>
        <v>2.67343270687347</v>
      </c>
      <c r="AV13" s="5">
        <v>18.213034820000001</v>
      </c>
      <c r="AW13" s="6">
        <v>23.66</v>
      </c>
      <c r="AX13" s="6">
        <f t="shared" si="0"/>
        <v>3.1637858585502405</v>
      </c>
      <c r="AY13" s="5">
        <f t="shared" si="2"/>
        <v>-0.95687092700451615</v>
      </c>
      <c r="AZ13" s="5">
        <f t="shared" si="1"/>
        <v>2.033537640004516</v>
      </c>
      <c r="BA13" s="5">
        <f>$C13-AY14</f>
        <v>2.3183778837062388</v>
      </c>
      <c r="BB13">
        <v>7.2725999999999999E-2</v>
      </c>
      <c r="BC13">
        <v>0</v>
      </c>
      <c r="BD13">
        <v>3.3399999139999998</v>
      </c>
      <c r="BE13" s="5">
        <f>BD13-AY13</f>
        <v>4.296870841004516</v>
      </c>
      <c r="BF13" s="5">
        <f>BD13-AY14</f>
        <v>4.5817110847062388</v>
      </c>
    </row>
    <row r="14" spans="1:58" x14ac:dyDescent="0.25">
      <c r="A14" t="s">
        <v>24</v>
      </c>
      <c r="B14">
        <v>0</v>
      </c>
      <c r="C14">
        <v>1.1033333540000001</v>
      </c>
      <c r="D14">
        <v>0.75</v>
      </c>
      <c r="E14">
        <v>0.210999995</v>
      </c>
      <c r="F14">
        <v>3.0156819488616113</v>
      </c>
      <c r="G14">
        <v>2.7179345231761864</v>
      </c>
      <c r="H14">
        <v>2.7761770103766383</v>
      </c>
      <c r="I14">
        <v>2.3368898966860359</v>
      </c>
      <c r="J14">
        <v>4.7730039666093491</v>
      </c>
      <c r="K14">
        <v>-0.97222754938894118</v>
      </c>
      <c r="L14">
        <v>13</v>
      </c>
      <c r="M14">
        <v>169</v>
      </c>
      <c r="N14">
        <v>0</v>
      </c>
      <c r="O14" s="4">
        <v>3.1256195343884134</v>
      </c>
      <c r="P14" s="4">
        <v>2.5344108446910893</v>
      </c>
      <c r="Q14" s="4">
        <v>1.8028642489601607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7246859762485550</v>
      </c>
      <c r="X14" s="2">
        <v>5.6936346369999997</v>
      </c>
      <c r="Y14" s="2">
        <v>5.6424725850000002</v>
      </c>
      <c r="Z14" s="2">
        <v>7.6413243739999999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>
        <v>2.6638067381548902</v>
      </c>
      <c r="AV14" s="5">
        <v>18.16621559</v>
      </c>
      <c r="AW14" s="6">
        <v>23.586666666666666</v>
      </c>
      <c r="AX14" s="6">
        <f t="shared" si="0"/>
        <v>3.1606815806234749</v>
      </c>
      <c r="AY14" s="5">
        <f t="shared" si="2"/>
        <v>-1.2417111707062389</v>
      </c>
      <c r="AZ14" s="5">
        <f t="shared" si="1"/>
        <v>2.345044524706239</v>
      </c>
      <c r="BA14" s="5">
        <f>$C14-AY15</f>
        <v>-1.9376498974662226</v>
      </c>
      <c r="BB14">
        <v>0.10874499999999999</v>
      </c>
      <c r="BC14">
        <v>0</v>
      </c>
      <c r="BD14">
        <v>3.2400000100000002</v>
      </c>
      <c r="BE14" s="5">
        <f>BD14-AY14</f>
        <v>4.4817111807062391</v>
      </c>
      <c r="BF14" s="5">
        <f>BD14-AY15</f>
        <v>0.19901675853377743</v>
      </c>
    </row>
    <row r="15" spans="1:58" x14ac:dyDescent="0.25">
      <c r="A15" t="s">
        <v>25</v>
      </c>
      <c r="B15">
        <v>0</v>
      </c>
      <c r="C15">
        <v>1.1533333059999999</v>
      </c>
      <c r="D15">
        <v>0</v>
      </c>
      <c r="E15">
        <v>0.210999995</v>
      </c>
      <c r="F15">
        <v>3.0319195443157034</v>
      </c>
      <c r="G15">
        <v>2.7479117345273405</v>
      </c>
      <c r="H15">
        <v>2.7938625327464188</v>
      </c>
      <c r="I15">
        <v>2.4255988688891899</v>
      </c>
      <c r="J15">
        <v>4.7915833606852996</v>
      </c>
      <c r="K15">
        <v>-0.96893634772846293</v>
      </c>
      <c r="L15">
        <v>14</v>
      </c>
      <c r="M15">
        <v>196</v>
      </c>
      <c r="N15">
        <v>2.7979651162790699E-2</v>
      </c>
      <c r="O15" s="4">
        <v>3.1371450265043146</v>
      </c>
      <c r="P15" s="4">
        <v>2.5593955017787398</v>
      </c>
      <c r="Q15" s="4">
        <v>1.8113986844804035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7263194359556240</v>
      </c>
      <c r="X15" s="2">
        <v>5.7122819070000004</v>
      </c>
      <c r="Y15" s="2">
        <v>5.8946034640000002</v>
      </c>
      <c r="Z15" s="2">
        <v>7.6711279040000004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>
        <v>2.6624648781776399</v>
      </c>
      <c r="AV15" s="5">
        <v>18.22549648</v>
      </c>
      <c r="AW15" s="6">
        <v>23.766666666666666</v>
      </c>
      <c r="AX15" s="6">
        <f t="shared" si="0"/>
        <v>3.1682840387521405</v>
      </c>
      <c r="AY15" s="5">
        <f t="shared" si="2"/>
        <v>3.0409832514662227</v>
      </c>
      <c r="AZ15" s="5">
        <f t="shared" si="1"/>
        <v>-1.8876499454662228</v>
      </c>
      <c r="BA15" s="5">
        <f>$C15-AY16</f>
        <v>-6.1291970827620759</v>
      </c>
      <c r="BB15">
        <v>0.20772299999999999</v>
      </c>
      <c r="BC15">
        <v>0</v>
      </c>
      <c r="BD15">
        <v>3.2533333299999998</v>
      </c>
      <c r="BE15" s="5">
        <f>BD15-AY15</f>
        <v>0.21235007853377708</v>
      </c>
      <c r="BF15" s="5">
        <f>BD15-AY16</f>
        <v>-4.029197058762076</v>
      </c>
    </row>
    <row r="16" spans="1:58" x14ac:dyDescent="0.25">
      <c r="A16" t="s">
        <v>26</v>
      </c>
      <c r="B16">
        <v>1</v>
      </c>
      <c r="C16">
        <v>1.2200000289999999</v>
      </c>
      <c r="D16">
        <v>0</v>
      </c>
      <c r="E16">
        <v>0.210999995</v>
      </c>
      <c r="F16">
        <v>3.0125402252033582</v>
      </c>
      <c r="G16">
        <v>2.7863066990679775</v>
      </c>
      <c r="H16">
        <v>2.8098365139002293</v>
      </c>
      <c r="I16">
        <v>2.4975760528886632</v>
      </c>
      <c r="J16">
        <v>4.8188854301710373</v>
      </c>
      <c r="K16">
        <v>-0.97401029046408816</v>
      </c>
      <c r="L16">
        <v>15</v>
      </c>
      <c r="M16">
        <v>225</v>
      </c>
      <c r="N16">
        <v>0.63057996485061518</v>
      </c>
      <c r="O16" s="4">
        <v>3.1542733016825424</v>
      </c>
      <c r="P16" s="4">
        <v>2.5747473537877896</v>
      </c>
      <c r="Q16" s="4">
        <v>2.0240609583270306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7313271052473450</v>
      </c>
      <c r="X16" s="2">
        <v>5.6883038670000001</v>
      </c>
      <c r="Y16" s="2">
        <v>6.0597831099999997</v>
      </c>
      <c r="Z16" s="2">
        <v>7.7089493640000004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>
        <v>2.63804567447289</v>
      </c>
      <c r="AV16" s="5">
        <v>18.61167622</v>
      </c>
      <c r="AW16" s="6">
        <v>24.203333333333333</v>
      </c>
      <c r="AX16" s="6">
        <f t="shared" si="0"/>
        <v>3.1864903647240457</v>
      </c>
      <c r="AY16" s="5">
        <f t="shared" si="2"/>
        <v>7.2825303887620763</v>
      </c>
      <c r="AZ16" s="5">
        <f t="shared" si="1"/>
        <v>-6.0625303597620768</v>
      </c>
      <c r="BA16" s="5">
        <f>$C16-AY17</f>
        <v>-6.797174749307457</v>
      </c>
      <c r="BB16">
        <v>0.16001599999999999</v>
      </c>
      <c r="BC16">
        <v>0</v>
      </c>
      <c r="BD16">
        <v>3.2533333299999998</v>
      </c>
      <c r="BE16" s="5">
        <f>BD16-AY16</f>
        <v>-4.029197058762076</v>
      </c>
      <c r="BF16" s="5">
        <f>BD16-AY17</f>
        <v>-4.7638414483074563</v>
      </c>
    </row>
    <row r="17" spans="1:58" x14ac:dyDescent="0.25">
      <c r="A17" t="s">
        <v>27</v>
      </c>
      <c r="B17">
        <v>0</v>
      </c>
      <c r="C17">
        <v>1.3366667029999999</v>
      </c>
      <c r="D17">
        <v>0</v>
      </c>
      <c r="E17">
        <v>0.210999995</v>
      </c>
      <c r="F17">
        <v>3.0743123736768481</v>
      </c>
      <c r="G17">
        <v>2.8037845333654041</v>
      </c>
      <c r="H17">
        <v>2.8015981199455124</v>
      </c>
      <c r="I17">
        <v>2.4765384001174837</v>
      </c>
      <c r="J17">
        <v>4.8318594438487965</v>
      </c>
      <c r="K17">
        <v>-0.97539702425426322</v>
      </c>
      <c r="L17">
        <v>16</v>
      </c>
      <c r="M17">
        <v>256</v>
      </c>
      <c r="N17">
        <v>0.4107320304736668</v>
      </c>
      <c r="O17" s="4">
        <v>3.1318353565463313</v>
      </c>
      <c r="P17" s="4">
        <v>2.581049815896217</v>
      </c>
      <c r="Q17" s="4">
        <v>1.8920571905434189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728266151828218</v>
      </c>
      <c r="X17" s="2">
        <v>5.7542718339999999</v>
      </c>
      <c r="Y17" s="2">
        <v>6.1176657289999996</v>
      </c>
      <c r="Z17" s="2">
        <v>7.728063605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>
        <v>2.6138374229843202</v>
      </c>
      <c r="AV17" s="5">
        <v>18.97982674</v>
      </c>
      <c r="AW17" s="6">
        <v>24.693333333333332</v>
      </c>
      <c r="AX17" s="6">
        <f t="shared" si="0"/>
        <v>3.2065333016698143</v>
      </c>
      <c r="AY17" s="5">
        <f t="shared" si="2"/>
        <v>8.0171747783074565</v>
      </c>
      <c r="AZ17" s="5">
        <f t="shared" si="1"/>
        <v>-6.6805080753074568</v>
      </c>
      <c r="BA17" s="5">
        <f>$C17-AY18</f>
        <v>-14.594525350298737</v>
      </c>
      <c r="BB17">
        <v>0.35906500000000002</v>
      </c>
      <c r="BC17">
        <v>0</v>
      </c>
      <c r="BD17">
        <v>3.2133333679999998</v>
      </c>
      <c r="BE17" s="5">
        <f>BD17-AY17</f>
        <v>-4.8038414103074567</v>
      </c>
      <c r="BF17" s="5">
        <f>BD17-AY18</f>
        <v>-12.717858685298737</v>
      </c>
    </row>
    <row r="18" spans="1:58" x14ac:dyDescent="0.25">
      <c r="A18" t="s">
        <v>28</v>
      </c>
      <c r="B18">
        <v>0</v>
      </c>
      <c r="C18">
        <v>1.3666666750000001</v>
      </c>
      <c r="D18">
        <v>0</v>
      </c>
      <c r="E18">
        <v>0.247999996</v>
      </c>
      <c r="F18">
        <v>3.1758848130631057</v>
      </c>
      <c r="G18">
        <v>2.8163065198720618</v>
      </c>
      <c r="H18">
        <v>2.8238657398386153</v>
      </c>
      <c r="I18">
        <v>2.4386881759863859</v>
      </c>
      <c r="J18">
        <v>4.8526862986817472</v>
      </c>
      <c r="K18">
        <v>-0.9768524245253779</v>
      </c>
      <c r="L18">
        <v>17</v>
      </c>
      <c r="M18">
        <v>289</v>
      </c>
      <c r="N18">
        <v>1.3086498563676986E-2</v>
      </c>
      <c r="O18" s="4">
        <v>3.1500829333839158</v>
      </c>
      <c r="P18" s="4">
        <v>2.6080088469219835</v>
      </c>
      <c r="Q18" s="4">
        <v>1.923080086555413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7306554217471100</v>
      </c>
      <c r="X18" s="2">
        <v>5.8861800799999999</v>
      </c>
      <c r="Y18" s="2">
        <v>6.2139234009999997</v>
      </c>
      <c r="Z18" s="2">
        <v>7.741663902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>
        <v>2.5622963207476901</v>
      </c>
      <c r="AV18" s="5">
        <v>19.682919529999999</v>
      </c>
      <c r="AW18" s="6">
        <v>25.696666666666665</v>
      </c>
      <c r="AX18" s="6">
        <f t="shared" si="0"/>
        <v>3.2463612818030612</v>
      </c>
      <c r="AY18" s="5">
        <f t="shared" si="2"/>
        <v>15.931192053298737</v>
      </c>
      <c r="AZ18" s="5">
        <f t="shared" si="1"/>
        <v>-14.564525378298738</v>
      </c>
      <c r="BA18" s="5">
        <f>$C18-AY19</f>
        <v>-2.5060802876314456</v>
      </c>
      <c r="BB18">
        <v>0.22531999999999999</v>
      </c>
      <c r="BC18">
        <v>0</v>
      </c>
      <c r="BD18">
        <v>3.186666727</v>
      </c>
      <c r="BE18" s="5">
        <f>BD18-AY18</f>
        <v>-12.744525326298737</v>
      </c>
      <c r="BF18" s="5">
        <f>BD18-AY19</f>
        <v>-0.68608023563144593</v>
      </c>
    </row>
    <row r="19" spans="1:58" x14ac:dyDescent="0.25">
      <c r="A19" t="s">
        <v>29</v>
      </c>
      <c r="B19">
        <v>0</v>
      </c>
      <c r="C19">
        <v>1.4900000099999999</v>
      </c>
      <c r="D19">
        <v>0</v>
      </c>
      <c r="E19">
        <v>0.247999996</v>
      </c>
      <c r="F19">
        <v>3.3047231913270196</v>
      </c>
      <c r="G19">
        <v>2.8328014945519682</v>
      </c>
      <c r="H19">
        <v>2.8190866087661908</v>
      </c>
      <c r="I19">
        <v>2.3916027893116985</v>
      </c>
      <c r="J19">
        <v>4.86365771484809</v>
      </c>
      <c r="K19">
        <v>-0.96036066121661656</v>
      </c>
      <c r="L19">
        <v>18</v>
      </c>
      <c r="M19">
        <v>324</v>
      </c>
      <c r="N19">
        <v>0</v>
      </c>
      <c r="O19" s="4">
        <v>3.135363772639185</v>
      </c>
      <c r="P19" s="4">
        <v>2.6147646370462141</v>
      </c>
      <c r="Q19" s="4">
        <v>1.7683202374942921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7277888847952480</v>
      </c>
      <c r="X19" s="2">
        <v>6.0145869650000003</v>
      </c>
      <c r="Y19" s="2">
        <v>6.1625486220000001</v>
      </c>
      <c r="Z19" s="2">
        <v>7.7588886319999997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>
        <v>2.5512404797962702</v>
      </c>
      <c r="AV19" s="5">
        <v>19.8081563</v>
      </c>
      <c r="AW19" s="6">
        <v>25.946666666666665</v>
      </c>
      <c r="AX19" s="6">
        <f t="shared" si="0"/>
        <v>3.2560431492096398</v>
      </c>
      <c r="AY19" s="5">
        <f t="shared" si="2"/>
        <v>3.8727469626314459</v>
      </c>
      <c r="AZ19" s="5">
        <f t="shared" si="1"/>
        <v>-2.3827469526314458</v>
      </c>
      <c r="BA19" s="5">
        <f>$C19-AY20</f>
        <v>1.695602687361405</v>
      </c>
      <c r="BB19">
        <v>0.16458</v>
      </c>
      <c r="BC19">
        <v>0</v>
      </c>
      <c r="BD19">
        <v>3.413333416</v>
      </c>
      <c r="BE19" s="5">
        <f>BD19-AY19</f>
        <v>-0.45941354663144596</v>
      </c>
      <c r="BF19" s="5">
        <f>BD19-AY20</f>
        <v>3.618936093361405</v>
      </c>
    </row>
    <row r="20" spans="1:58" x14ac:dyDescent="0.25">
      <c r="A20" t="s">
        <v>30</v>
      </c>
      <c r="B20">
        <v>0</v>
      </c>
      <c r="C20">
        <v>1.6033333540000001</v>
      </c>
      <c r="D20">
        <v>0</v>
      </c>
      <c r="E20">
        <v>0.247999996</v>
      </c>
      <c r="F20">
        <v>3.4122032608386892</v>
      </c>
      <c r="G20">
        <v>2.8524968054672382</v>
      </c>
      <c r="H20">
        <v>2.8358298838108769</v>
      </c>
      <c r="I20">
        <v>2.3752777783874861</v>
      </c>
      <c r="J20">
        <v>4.8592308399370223</v>
      </c>
      <c r="K20">
        <v>-0.94224443392076151</v>
      </c>
      <c r="L20">
        <v>19</v>
      </c>
      <c r="M20">
        <v>361</v>
      </c>
      <c r="N20">
        <v>0</v>
      </c>
      <c r="O20" s="4">
        <v>3.156191583490811</v>
      </c>
      <c r="P20" s="4">
        <v>2.6272016132388893</v>
      </c>
      <c r="Q20" s="4">
        <v>1.749895265129356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7289471262608340</v>
      </c>
      <c r="X20" s="2">
        <v>6.1386794140000003</v>
      </c>
      <c r="Y20" s="2">
        <v>6.1532357109999998</v>
      </c>
      <c r="Z20" s="2">
        <v>7.7792578280000004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>
        <v>2.5616072654172299</v>
      </c>
      <c r="AV20" s="5">
        <v>19.819975769999999</v>
      </c>
      <c r="AW20" s="6">
        <v>25.933333333333334</v>
      </c>
      <c r="AX20" s="6">
        <f t="shared" si="0"/>
        <v>3.2555291425162363</v>
      </c>
      <c r="AY20" s="5">
        <f t="shared" si="2"/>
        <v>-0.20560267736140503</v>
      </c>
      <c r="AZ20" s="5">
        <f t="shared" si="1"/>
        <v>1.8089360313614051</v>
      </c>
      <c r="BA20" s="5">
        <f>$C20-AY21</f>
        <v>-4.2659904529221109</v>
      </c>
      <c r="BB20">
        <v>0.28348699999999999</v>
      </c>
      <c r="BC20">
        <v>0</v>
      </c>
      <c r="BD20">
        <v>3.4966666700000002</v>
      </c>
      <c r="BE20" s="5">
        <f>BD20-AY20</f>
        <v>3.7022693473614052</v>
      </c>
      <c r="BF20" s="5">
        <f>BD20-AY21</f>
        <v>-2.3726571369221108</v>
      </c>
    </row>
    <row r="21" spans="1:58" x14ac:dyDescent="0.25">
      <c r="A21" t="s">
        <v>31</v>
      </c>
      <c r="B21">
        <v>0</v>
      </c>
      <c r="C21">
        <v>1.6100000139999999</v>
      </c>
      <c r="D21">
        <v>0</v>
      </c>
      <c r="E21">
        <v>0.247999996</v>
      </c>
      <c r="F21">
        <v>3.466454394622648</v>
      </c>
      <c r="G21">
        <v>2.8541687092322041</v>
      </c>
      <c r="H21">
        <v>2.8432895650629293</v>
      </c>
      <c r="I21">
        <v>2.3649023990589071</v>
      </c>
      <c r="J21">
        <v>4.8616634033838064</v>
      </c>
      <c r="K21">
        <v>-0.94459963299529748</v>
      </c>
      <c r="L21">
        <v>20</v>
      </c>
      <c r="M21">
        <v>400</v>
      </c>
      <c r="N21">
        <v>0</v>
      </c>
      <c r="O21" s="4">
        <v>3.1678351301536138</v>
      </c>
      <c r="P21" s="4">
        <v>2.6296561336741981</v>
      </c>
      <c r="Q21" s="4">
        <v>1.7467621032973193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7295280423957630</v>
      </c>
      <c r="X21" s="2">
        <v>6.1980787959999999</v>
      </c>
      <c r="Y21" s="2">
        <v>6.2021687820000002</v>
      </c>
      <c r="Z21" s="2">
        <v>7.7814724829999999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>
        <v>2.54547603675026</v>
      </c>
      <c r="AV21" s="5">
        <v>20.040322580000002</v>
      </c>
      <c r="AW21" s="6">
        <v>26.316666666666666</v>
      </c>
      <c r="AX21" s="6">
        <f t="shared" si="0"/>
        <v>3.2702024520335415</v>
      </c>
      <c r="AY21" s="5">
        <f t="shared" si="2"/>
        <v>5.869323806922111</v>
      </c>
      <c r="AZ21" s="5">
        <f t="shared" si="1"/>
        <v>-4.2593237929221113</v>
      </c>
      <c r="BA21" s="5">
        <f>$C21-AY22</f>
        <v>9.2931191704457961E-2</v>
      </c>
      <c r="BB21">
        <v>0.24490899999999999</v>
      </c>
      <c r="BC21">
        <v>0</v>
      </c>
      <c r="BD21">
        <v>3.556666613</v>
      </c>
      <c r="BE21" s="5">
        <f>BD21-AY21</f>
        <v>-2.312657193922111</v>
      </c>
      <c r="BF21" s="5">
        <f>BD21-AY22</f>
        <v>2.039597790704458</v>
      </c>
    </row>
    <row r="22" spans="1:58" x14ac:dyDescent="0.25">
      <c r="A22" t="s">
        <v>32</v>
      </c>
      <c r="B22">
        <v>0</v>
      </c>
      <c r="C22">
        <v>1.5666667219999999</v>
      </c>
      <c r="D22">
        <v>0</v>
      </c>
      <c r="E22">
        <v>0.26800000699999998</v>
      </c>
      <c r="F22">
        <v>3.4969620036465345</v>
      </c>
      <c r="G22">
        <v>2.8641988835921413</v>
      </c>
      <c r="H22">
        <v>2.8449028634493128</v>
      </c>
      <c r="I22">
        <v>2.3766716363467437</v>
      </c>
      <c r="J22">
        <v>4.8654707840986342</v>
      </c>
      <c r="K22">
        <v>-0.93042719295829501</v>
      </c>
      <c r="L22">
        <v>21</v>
      </c>
      <c r="M22">
        <v>441</v>
      </c>
      <c r="N22">
        <v>-1.4371945961483186E-3</v>
      </c>
      <c r="O22" s="4">
        <v>3.159550358783386</v>
      </c>
      <c r="P22" s="4">
        <v>2.6419816211325053</v>
      </c>
      <c r="Q22" s="4">
        <v>1.7524987552747524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7297594266037290</v>
      </c>
      <c r="X22" s="2">
        <v>6.2188338820000002</v>
      </c>
      <c r="Y22" s="2">
        <v>6.2121179399999997</v>
      </c>
      <c r="Z22" s="2">
        <v>7.7919772610000004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>
        <v>2.5534743169818102</v>
      </c>
      <c r="AV22" s="5">
        <v>20.028514399999999</v>
      </c>
      <c r="AW22" s="6">
        <v>26.416666666666668</v>
      </c>
      <c r="AX22" s="6">
        <f t="shared" si="0"/>
        <v>3.2739951240892804</v>
      </c>
      <c r="AY22" s="5">
        <f t="shared" si="2"/>
        <v>1.517068822295542</v>
      </c>
      <c r="AZ22" s="5">
        <f t="shared" si="1"/>
        <v>4.9597899704457937E-2</v>
      </c>
      <c r="BA22" s="5">
        <f>$C22-AY23</f>
        <v>0.50813167037485751</v>
      </c>
      <c r="BB22">
        <v>0.20743</v>
      </c>
      <c r="BC22">
        <v>0</v>
      </c>
      <c r="BD22">
        <v>3.5433332919999998</v>
      </c>
      <c r="BE22" s="5">
        <f>BD22-AY22</f>
        <v>2.0262644697044578</v>
      </c>
      <c r="BF22" s="5">
        <f>BD22-AY23</f>
        <v>2.4847982403748574</v>
      </c>
    </row>
    <row r="23" spans="1:58" x14ac:dyDescent="0.25">
      <c r="A23" t="s">
        <v>33</v>
      </c>
      <c r="B23">
        <v>0</v>
      </c>
      <c r="C23">
        <v>1.6466666459999999</v>
      </c>
      <c r="D23">
        <v>0</v>
      </c>
      <c r="E23">
        <v>0.26800000699999998</v>
      </c>
      <c r="F23">
        <v>3.5302939549965653</v>
      </c>
      <c r="G23">
        <v>2.8652818441699259</v>
      </c>
      <c r="H23">
        <v>2.864203563364482</v>
      </c>
      <c r="I23">
        <v>2.390412803359566</v>
      </c>
      <c r="J23">
        <v>4.861601500648459</v>
      </c>
      <c r="K23">
        <v>-0.90989985912997651</v>
      </c>
      <c r="L23">
        <v>22</v>
      </c>
      <c r="M23">
        <v>484</v>
      </c>
      <c r="N23">
        <v>-1.3097949886104783E-2</v>
      </c>
      <c r="O23" s="4">
        <v>3.1825022547538415</v>
      </c>
      <c r="P23" s="4">
        <v>2.65745841498615</v>
      </c>
      <c r="Q23" s="4">
        <v>1.771726815477819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7316988611738890</v>
      </c>
      <c r="X23" s="2">
        <v>6.265901393</v>
      </c>
      <c r="Y23" s="2">
        <v>6.216217973</v>
      </c>
      <c r="Z23" s="2">
        <v>7.7940815260000003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>
        <v>2.5585807058009502</v>
      </c>
      <c r="AV23" s="5">
        <v>20.058106410000001</v>
      </c>
      <c r="AW23" s="6">
        <v>26.486666666666668</v>
      </c>
      <c r="AX23" s="6">
        <f t="shared" si="0"/>
        <v>3.2766414617183433</v>
      </c>
      <c r="AY23" s="5">
        <f t="shared" si="2"/>
        <v>1.0585350516251424</v>
      </c>
      <c r="AZ23" s="5">
        <f t="shared" si="1"/>
        <v>0.58813159437485751</v>
      </c>
      <c r="BA23" s="5">
        <f>$C23-AY24</f>
        <v>-1.0624870689715351</v>
      </c>
      <c r="BB23">
        <v>0.32605499999999998</v>
      </c>
      <c r="BC23">
        <v>0</v>
      </c>
      <c r="BD23">
        <v>3.4966666700000002</v>
      </c>
      <c r="BE23" s="5">
        <f>BD23-AY23</f>
        <v>2.4381316183748578</v>
      </c>
      <c r="BF23" s="5">
        <f>BD23-AY24</f>
        <v>0.78751295502846519</v>
      </c>
    </row>
    <row r="24" spans="1:58" x14ac:dyDescent="0.25">
      <c r="A24" t="s">
        <v>34</v>
      </c>
      <c r="B24">
        <v>0</v>
      </c>
      <c r="C24">
        <v>1.783333302</v>
      </c>
      <c r="D24">
        <v>0</v>
      </c>
      <c r="E24">
        <v>0.26800000699999998</v>
      </c>
      <c r="F24">
        <v>3.5401474003135367</v>
      </c>
      <c r="G24">
        <v>2.8719814661178162</v>
      </c>
      <c r="H24">
        <v>2.8794554450603727</v>
      </c>
      <c r="I24">
        <v>2.3270825645944329</v>
      </c>
      <c r="J24">
        <v>4.8657174160325543</v>
      </c>
      <c r="K24">
        <v>-0.90696379810872929</v>
      </c>
      <c r="L24">
        <v>23</v>
      </c>
      <c r="M24">
        <v>529</v>
      </c>
      <c r="N24">
        <v>2.272081794944618E-3</v>
      </c>
      <c r="O24" s="4">
        <v>3.1998968582703982</v>
      </c>
      <c r="P24" s="4">
        <v>2.670694414558441</v>
      </c>
      <c r="Q24" s="4">
        <v>1.7105494138025117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7321773702968340</v>
      </c>
      <c r="X24" s="2">
        <v>6.2725186749999997</v>
      </c>
      <c r="Y24" s="2">
        <v>6.2064752619999997</v>
      </c>
      <c r="Z24" s="2">
        <v>7.8012685629999998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>
        <v>2.5526556670497502</v>
      </c>
      <c r="AV24" s="5">
        <v>20.286328659999999</v>
      </c>
      <c r="AW24" s="6">
        <v>26.666666666666668</v>
      </c>
      <c r="AX24" s="6">
        <f t="shared" si="0"/>
        <v>3.2834143460057721</v>
      </c>
      <c r="AY24" s="5">
        <f t="shared" si="2"/>
        <v>2.709153714971535</v>
      </c>
      <c r="AZ24" s="5">
        <f t="shared" si="1"/>
        <v>-0.92582041297153506</v>
      </c>
      <c r="BA24" s="5">
        <f>$C24-AY25</f>
        <v>1.3335862373164078</v>
      </c>
      <c r="BB24">
        <v>0.35119899999999998</v>
      </c>
      <c r="BC24">
        <v>0</v>
      </c>
      <c r="BD24">
        <v>3.5099999899999998</v>
      </c>
      <c r="BE24" s="5">
        <f>BD24-AY24</f>
        <v>0.80084627502846484</v>
      </c>
      <c r="BF24" s="5">
        <f>BD24-AY25</f>
        <v>3.0602529253164077</v>
      </c>
    </row>
    <row r="25" spans="1:58" x14ac:dyDescent="0.25">
      <c r="A25" t="s">
        <v>35</v>
      </c>
      <c r="B25">
        <v>0</v>
      </c>
      <c r="C25">
        <v>1.8933333160000001</v>
      </c>
      <c r="D25">
        <v>0</v>
      </c>
      <c r="E25">
        <v>0.26800000699999998</v>
      </c>
      <c r="F25">
        <v>3.5579161895951237</v>
      </c>
      <c r="G25">
        <v>2.9044937931197197</v>
      </c>
      <c r="H25">
        <v>2.8939231210011753</v>
      </c>
      <c r="I25">
        <v>2.4004374931615504</v>
      </c>
      <c r="J25">
        <v>4.8841041046821623</v>
      </c>
      <c r="K25">
        <v>-0.88537005715506611</v>
      </c>
      <c r="L25">
        <v>24</v>
      </c>
      <c r="M25">
        <v>576</v>
      </c>
      <c r="N25">
        <v>0</v>
      </c>
      <c r="O25" s="4">
        <v>3.2144661163795005</v>
      </c>
      <c r="P25" s="4">
        <v>2.6848498079317746</v>
      </c>
      <c r="Q25" s="4">
        <v>1.8696460078851262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7356443337009000</v>
      </c>
      <c r="X25" s="2">
        <v>6.2992996730000002</v>
      </c>
      <c r="Y25" s="2">
        <v>6.2506919740000004</v>
      </c>
      <c r="Z25" s="2">
        <v>7.8335606029999996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>
        <v>2.5673212577076101</v>
      </c>
      <c r="AV25" s="5">
        <v>20.343996489999999</v>
      </c>
      <c r="AW25" s="6">
        <v>26.696666666666665</v>
      </c>
      <c r="AX25" s="6">
        <f t="shared" si="0"/>
        <v>3.2845387136674811</v>
      </c>
      <c r="AY25" s="5">
        <f t="shared" si="2"/>
        <v>0.44974706468359216</v>
      </c>
      <c r="AZ25" s="5">
        <f t="shared" si="1"/>
        <v>1.4435862513164079</v>
      </c>
      <c r="BA25" s="5">
        <f>$C25-AY26</f>
        <v>3.0436935962061864</v>
      </c>
      <c r="BB25">
        <v>0.370502</v>
      </c>
      <c r="BC25">
        <v>0</v>
      </c>
      <c r="BD25">
        <v>3.5266666409999998</v>
      </c>
      <c r="BE25" s="5">
        <f>BD25-AY25</f>
        <v>3.0769195763164077</v>
      </c>
      <c r="BF25" s="5">
        <f>BD25-AY26</f>
        <v>4.6770269212061866</v>
      </c>
    </row>
    <row r="26" spans="1:58" x14ac:dyDescent="0.25">
      <c r="A26" t="s">
        <v>36</v>
      </c>
      <c r="B26">
        <v>0</v>
      </c>
      <c r="C26">
        <v>1.980000019</v>
      </c>
      <c r="D26">
        <v>0</v>
      </c>
      <c r="E26">
        <v>0.26600000299999998</v>
      </c>
      <c r="F26">
        <v>3.5912941882628826</v>
      </c>
      <c r="G26">
        <v>2.9230002773878923</v>
      </c>
      <c r="H26">
        <v>2.9018503241429037</v>
      </c>
      <c r="I26">
        <v>2.4398221112991307</v>
      </c>
      <c r="J26">
        <v>4.8876763866958086</v>
      </c>
      <c r="K26">
        <v>-0.8665790514275783</v>
      </c>
      <c r="L26">
        <v>25</v>
      </c>
      <c r="M26">
        <v>625</v>
      </c>
      <c r="N26">
        <v>-2.0193861066235864E-2</v>
      </c>
      <c r="O26" s="4">
        <v>3.2206742068095804</v>
      </c>
      <c r="P26" s="4">
        <v>2.6950325040209067</v>
      </c>
      <c r="Q26" s="4">
        <v>1.902704363179782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7368119472791710</v>
      </c>
      <c r="X26" s="2">
        <v>6.3230083309999996</v>
      </c>
      <c r="Y26" s="2">
        <v>6.2768275859999996</v>
      </c>
      <c r="Z26" s="2">
        <v>7.852011311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>
        <v>2.5500351046566698</v>
      </c>
      <c r="AV26" s="5">
        <v>20.347367859999999</v>
      </c>
      <c r="AW26" s="6">
        <v>26.62</v>
      </c>
      <c r="AX26" s="6">
        <f t="shared" si="0"/>
        <v>3.2816628129669656</v>
      </c>
      <c r="AY26" s="5">
        <f t="shared" si="2"/>
        <v>-1.1503602802061863</v>
      </c>
      <c r="AZ26" s="5">
        <f t="shared" si="1"/>
        <v>3.1303602992061865</v>
      </c>
      <c r="BA26" s="5">
        <f>$C26-AY27</f>
        <v>0.48018573840832857</v>
      </c>
      <c r="BB26">
        <v>0.37273299999999998</v>
      </c>
      <c r="BC26">
        <v>0</v>
      </c>
      <c r="BD26">
        <v>3.5366666320000002</v>
      </c>
      <c r="BE26" s="5">
        <f>BD26-AY26</f>
        <v>4.6870269122061865</v>
      </c>
      <c r="BF26" s="5">
        <f>BD26-AY27</f>
        <v>2.0368523514083288</v>
      </c>
    </row>
    <row r="27" spans="1:58" x14ac:dyDescent="0.25">
      <c r="A27" t="s">
        <v>37</v>
      </c>
      <c r="B27">
        <v>0</v>
      </c>
      <c r="C27">
        <v>2.1533334260000001</v>
      </c>
      <c r="D27">
        <v>0</v>
      </c>
      <c r="E27">
        <v>0.26600000299999998</v>
      </c>
      <c r="F27">
        <v>3.6130507716177029</v>
      </c>
      <c r="G27">
        <v>2.9305535475289965</v>
      </c>
      <c r="H27">
        <v>2.9103896833647918</v>
      </c>
      <c r="I27">
        <v>2.4452124912438018</v>
      </c>
      <c r="J27">
        <v>4.8865449088652051</v>
      </c>
      <c r="K27">
        <v>-0.85566365570560166</v>
      </c>
      <c r="L27">
        <v>26</v>
      </c>
      <c r="M27">
        <v>676</v>
      </c>
      <c r="N27">
        <v>-1.1627906976744188E-2</v>
      </c>
      <c r="O27" s="4">
        <v>3.2252554318322399</v>
      </c>
      <c r="P27" s="4">
        <v>2.7069162250610073</v>
      </c>
      <c r="Q27" s="4">
        <v>1.8968699536306719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7374121676513070</v>
      </c>
      <c r="X27" s="2">
        <v>6.3421772340000002</v>
      </c>
      <c r="Y27" s="2">
        <v>6.2835128989999998</v>
      </c>
      <c r="Z27" s="2">
        <v>7.8597991809999996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>
        <v>2.5485032597111901</v>
      </c>
      <c r="AV27" s="5">
        <v>20.386380620000001</v>
      </c>
      <c r="AW27" s="6">
        <v>26.72</v>
      </c>
      <c r="AX27" s="6">
        <f t="shared" si="0"/>
        <v>3.2854123486684448</v>
      </c>
      <c r="AY27" s="5">
        <f t="shared" si="2"/>
        <v>1.4998142805916714</v>
      </c>
      <c r="AZ27" s="5">
        <f t="shared" si="1"/>
        <v>0.65351914540832867</v>
      </c>
      <c r="BA27" s="5">
        <f>$C27-AY28</f>
        <v>0.31127403764044859</v>
      </c>
      <c r="BB27">
        <v>0.36937599999999998</v>
      </c>
      <c r="BC27">
        <v>0</v>
      </c>
      <c r="BD27">
        <v>3.7633333210000002</v>
      </c>
      <c r="BE27" s="5">
        <f>BD27-AY27</f>
        <v>2.2635190404083287</v>
      </c>
      <c r="BF27" s="5">
        <f>BD27-AY28</f>
        <v>1.9212739326404487</v>
      </c>
    </row>
    <row r="28" spans="1:58" x14ac:dyDescent="0.25">
      <c r="A28" t="s">
        <v>38</v>
      </c>
      <c r="B28">
        <v>0</v>
      </c>
      <c r="C28">
        <v>1.9566665889999999</v>
      </c>
      <c r="D28">
        <v>0</v>
      </c>
      <c r="E28">
        <v>0.26600000299999998</v>
      </c>
      <c r="F28">
        <v>3.6008948764453841</v>
      </c>
      <c r="G28">
        <v>2.9244510715490271</v>
      </c>
      <c r="H28">
        <v>2.9083903382996339</v>
      </c>
      <c r="I28">
        <v>2.4459925562887745</v>
      </c>
      <c r="J28">
        <v>4.8799493730843491</v>
      </c>
      <c r="K28">
        <v>-0.84552785052191826</v>
      </c>
      <c r="L28">
        <v>27</v>
      </c>
      <c r="M28">
        <v>729</v>
      </c>
      <c r="N28">
        <v>-3.0628272251308899E-2</v>
      </c>
      <c r="O28" s="4">
        <v>3.2160317844164656</v>
      </c>
      <c r="P28" s="4">
        <v>2.713037742613249</v>
      </c>
      <c r="Q28" s="4">
        <v>1.8905484395028425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7371736434484170</v>
      </c>
      <c r="X28" s="2">
        <v>6.3227930109999999</v>
      </c>
      <c r="Y28" s="2">
        <v>6.2694470300000003</v>
      </c>
      <c r="Z28" s="2">
        <v>7.8541483550000004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>
        <v>2.58240046041709</v>
      </c>
      <c r="AV28" s="5">
        <v>20.462843639999999</v>
      </c>
      <c r="AW28" s="6">
        <v>26.843333333333334</v>
      </c>
      <c r="AX28" s="6">
        <f t="shared" si="0"/>
        <v>3.2900174971393437</v>
      </c>
      <c r="AY28" s="5">
        <f t="shared" si="2"/>
        <v>1.8420593883595515</v>
      </c>
      <c r="AZ28" s="5">
        <f t="shared" si="1"/>
        <v>0.11460720064044838</v>
      </c>
      <c r="BA28" s="5">
        <f>$C28-AY29</f>
        <v>1.2618773324280628</v>
      </c>
      <c r="BB28">
        <v>0.447183</v>
      </c>
      <c r="BC28">
        <v>0</v>
      </c>
      <c r="BD28">
        <v>3.8633332249999999</v>
      </c>
      <c r="BE28" s="5">
        <f>BD28-AY28</f>
        <v>2.0212738366404484</v>
      </c>
      <c r="BF28" s="5">
        <f>BD28-AY29</f>
        <v>3.1685439684280627</v>
      </c>
    </row>
    <row r="29" spans="1:58" x14ac:dyDescent="0.25">
      <c r="A29" t="s">
        <v>39</v>
      </c>
      <c r="B29">
        <v>0</v>
      </c>
      <c r="C29">
        <v>1.473333359</v>
      </c>
      <c r="D29">
        <v>0</v>
      </c>
      <c r="E29">
        <v>0.26600000299999998</v>
      </c>
      <c r="F29">
        <v>3.5977779055836434</v>
      </c>
      <c r="G29">
        <v>2.908484504989711</v>
      </c>
      <c r="H29">
        <v>2.9056181930632534</v>
      </c>
      <c r="I29">
        <v>2.4351034726941903</v>
      </c>
      <c r="J29">
        <v>4.8676421369648741</v>
      </c>
      <c r="K29">
        <v>-0.84840423877079163</v>
      </c>
      <c r="L29">
        <v>28</v>
      </c>
      <c r="M29">
        <v>784</v>
      </c>
      <c r="N29">
        <v>-2.6239832065074781E-3</v>
      </c>
      <c r="O29" s="4">
        <v>3.2174748439525724</v>
      </c>
      <c r="P29" s="4">
        <v>2.7055804872012823</v>
      </c>
      <c r="Q29" s="4">
        <v>1.8622179328766164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7365008592322600</v>
      </c>
      <c r="X29" s="2">
        <v>6.3196403249999999</v>
      </c>
      <c r="Y29" s="2">
        <v>6.1951861509999997</v>
      </c>
      <c r="Z29" s="2">
        <v>7.8388558030000004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>
        <v>2.5959324522543299</v>
      </c>
      <c r="AV29" s="5">
        <v>20.508483819999999</v>
      </c>
      <c r="AW29" s="6">
        <v>26.89</v>
      </c>
      <c r="AX29" s="6">
        <f t="shared" si="0"/>
        <v>3.2917544702807735</v>
      </c>
      <c r="AY29" s="5">
        <f t="shared" si="2"/>
        <v>0.69478925657193713</v>
      </c>
      <c r="AZ29" s="5">
        <f t="shared" si="1"/>
        <v>0.77854410242806282</v>
      </c>
      <c r="BA29" s="5">
        <f>$C29-AY30</f>
        <v>0.53233125350334221</v>
      </c>
      <c r="BB29">
        <v>0.52054900000000004</v>
      </c>
      <c r="BC29">
        <v>0</v>
      </c>
      <c r="BD29">
        <v>3.7699999809999998</v>
      </c>
      <c r="BE29" s="5">
        <f>BD29-AY29</f>
        <v>3.0752107244280626</v>
      </c>
      <c r="BF29" s="5">
        <f>BD29-AY30</f>
        <v>2.828997875503342</v>
      </c>
    </row>
    <row r="30" spans="1:58" x14ac:dyDescent="0.25">
      <c r="A30" t="s">
        <v>40</v>
      </c>
      <c r="B30">
        <v>0</v>
      </c>
      <c r="C30">
        <v>1.059999943</v>
      </c>
      <c r="D30">
        <v>0</v>
      </c>
      <c r="E30">
        <v>0.24099999699999999</v>
      </c>
      <c r="F30">
        <v>3.570658822726505</v>
      </c>
      <c r="G30">
        <v>2.9037266277579667</v>
      </c>
      <c r="H30">
        <v>2.9150353771123028</v>
      </c>
      <c r="I30">
        <v>2.4192119049257652</v>
      </c>
      <c r="J30">
        <v>4.8591998136655246</v>
      </c>
      <c r="K30">
        <v>-0.8445309214561616</v>
      </c>
      <c r="L30">
        <v>29</v>
      </c>
      <c r="M30">
        <v>841</v>
      </c>
      <c r="N30">
        <v>0</v>
      </c>
      <c r="O30" s="4">
        <v>3.2270423875345942</v>
      </c>
      <c r="P30" s="4">
        <v>2.714827185381234</v>
      </c>
      <c r="Q30" s="4">
        <v>1.8306596181856116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7368690413442960</v>
      </c>
      <c r="X30" s="2">
        <v>6.2914236959999998</v>
      </c>
      <c r="Y30" s="2">
        <v>6.1497204759999997</v>
      </c>
      <c r="Z30" s="2">
        <v>7.8342339369999996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>
        <v>2.5857392060145798</v>
      </c>
      <c r="AV30" s="5">
        <v>20.567920180000002</v>
      </c>
      <c r="AW30" s="6">
        <v>26.953333333333333</v>
      </c>
      <c r="AX30" s="6">
        <f t="shared" si="0"/>
        <v>3.2941069755445151</v>
      </c>
      <c r="AY30" s="5">
        <f t="shared" si="2"/>
        <v>0.94100210549665775</v>
      </c>
      <c r="AZ30" s="5">
        <f t="shared" si="1"/>
        <v>0.11899783750334225</v>
      </c>
      <c r="BA30" s="5">
        <f>$C30-AY31</f>
        <v>1.7036042652802112</v>
      </c>
      <c r="BB30">
        <v>0.65120500000000003</v>
      </c>
      <c r="BC30">
        <v>0</v>
      </c>
      <c r="BD30">
        <v>3.6099998950000001</v>
      </c>
      <c r="BE30" s="5">
        <f>BD30-AY30</f>
        <v>2.6689977895033423</v>
      </c>
      <c r="BF30" s="5">
        <f>BD30-AY31</f>
        <v>4.2536042172802109</v>
      </c>
    </row>
    <row r="31" spans="1:58" x14ac:dyDescent="0.25">
      <c r="A31" t="s">
        <v>41</v>
      </c>
      <c r="B31">
        <v>0</v>
      </c>
      <c r="C31">
        <v>0.790000021</v>
      </c>
      <c r="D31">
        <v>0</v>
      </c>
      <c r="E31">
        <v>0.24099999699999999</v>
      </c>
      <c r="F31">
        <v>3.5346204350848653</v>
      </c>
      <c r="G31">
        <v>2.9049866602472458</v>
      </c>
      <c r="H31">
        <v>2.9222158524763486</v>
      </c>
      <c r="I31">
        <v>2.4354537660684699</v>
      </c>
      <c r="J31">
        <v>4.8470177220960728</v>
      </c>
      <c r="K31">
        <v>-0.82729473075070681</v>
      </c>
      <c r="L31">
        <v>30</v>
      </c>
      <c r="M31">
        <v>900</v>
      </c>
      <c r="N31">
        <v>0</v>
      </c>
      <c r="O31" s="4">
        <v>3.224340864299259</v>
      </c>
      <c r="P31" s="4">
        <v>2.7320271104836582</v>
      </c>
      <c r="Q31" s="4">
        <v>1.8779371654691073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7381592799465630</v>
      </c>
      <c r="X31" s="2">
        <v>6.2583546820000002</v>
      </c>
      <c r="Y31" s="2">
        <v>6.1444751569999996</v>
      </c>
      <c r="Z31" s="2">
        <v>7.8353024189999996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>
        <v>2.5907130103892202</v>
      </c>
      <c r="AV31" s="5">
        <v>20.585819870000002</v>
      </c>
      <c r="AW31" s="6">
        <v>26.91</v>
      </c>
      <c r="AX31" s="6">
        <f t="shared" si="0"/>
        <v>3.2924979647388146</v>
      </c>
      <c r="AY31" s="5">
        <f t="shared" si="2"/>
        <v>-0.64360432228021125</v>
      </c>
      <c r="AZ31" s="5">
        <f t="shared" si="1"/>
        <v>1.4336043432802112</v>
      </c>
      <c r="BA31" s="5">
        <f>$C31-AY32</f>
        <v>1.8318610751334417</v>
      </c>
      <c r="BB31">
        <v>0.65418699999999996</v>
      </c>
      <c r="BC31">
        <v>0</v>
      </c>
      <c r="BD31">
        <v>3.476666689</v>
      </c>
      <c r="BE31" s="5">
        <f>BD31-AY31</f>
        <v>4.1202710112802112</v>
      </c>
      <c r="BF31" s="5">
        <f>BD31-AY32</f>
        <v>4.5185277431334416</v>
      </c>
    </row>
    <row r="32" spans="1:58" x14ac:dyDescent="0.25">
      <c r="A32" t="s">
        <v>42</v>
      </c>
      <c r="B32">
        <v>0</v>
      </c>
      <c r="C32">
        <v>0.88333332499999995</v>
      </c>
      <c r="D32">
        <v>-1.4</v>
      </c>
      <c r="E32">
        <v>0.24099999699999999</v>
      </c>
      <c r="F32">
        <v>3.5102012522347801</v>
      </c>
      <c r="G32">
        <v>2.9162019345971828</v>
      </c>
      <c r="H32">
        <v>2.93738388727171</v>
      </c>
      <c r="I32">
        <v>2.4746879495936684</v>
      </c>
      <c r="J32">
        <v>4.8436830224317884</v>
      </c>
      <c r="K32">
        <v>-0.82559009907023395</v>
      </c>
      <c r="L32">
        <v>31</v>
      </c>
      <c r="M32">
        <v>961</v>
      </c>
      <c r="N32">
        <v>-1.3297872340425532E-2</v>
      </c>
      <c r="O32" s="4">
        <v>3.2368729015698552</v>
      </c>
      <c r="P32" s="4">
        <v>2.749256121913334</v>
      </c>
      <c r="Q32" s="4">
        <v>1.882209372150127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7395035062363080</v>
      </c>
      <c r="X32" s="2">
        <v>6.2368850489999996</v>
      </c>
      <c r="Y32" s="2">
        <v>6.1530035649999997</v>
      </c>
      <c r="Z32" s="2">
        <v>7.8465508660000003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>
        <v>2.5979451381073</v>
      </c>
      <c r="AV32" s="5">
        <v>20.61610091</v>
      </c>
      <c r="AW32" s="6">
        <v>26.84</v>
      </c>
      <c r="AX32" s="6">
        <f t="shared" si="0"/>
        <v>3.289893312103481</v>
      </c>
      <c r="AY32" s="5">
        <f t="shared" si="2"/>
        <v>-1.0418610541334417</v>
      </c>
      <c r="AZ32" s="5">
        <f t="shared" si="1"/>
        <v>1.9251943791334416</v>
      </c>
      <c r="BA32" s="5">
        <f>$C32-AY33</f>
        <v>2.1271927762421017</v>
      </c>
      <c r="BB32">
        <v>0.75987899999999997</v>
      </c>
      <c r="BC32">
        <v>0</v>
      </c>
      <c r="BD32">
        <v>3.4866666789999998</v>
      </c>
      <c r="BE32" s="5">
        <f>BD32-AY32</f>
        <v>4.5285277331334415</v>
      </c>
      <c r="BF32" s="5">
        <f>BD32-AY33</f>
        <v>4.7305261302421018</v>
      </c>
    </row>
    <row r="33" spans="1:58" x14ac:dyDescent="0.25">
      <c r="A33" t="s">
        <v>43</v>
      </c>
      <c r="B33">
        <v>0</v>
      </c>
      <c r="C33">
        <v>1.019999981</v>
      </c>
      <c r="D33">
        <v>0</v>
      </c>
      <c r="E33">
        <v>0.24099999699999999</v>
      </c>
      <c r="F33">
        <v>3.5041149156688416</v>
      </c>
      <c r="G33">
        <v>2.9360353462958635</v>
      </c>
      <c r="H33">
        <v>2.9513130589761927</v>
      </c>
      <c r="I33">
        <v>2.4967528720716818</v>
      </c>
      <c r="J33">
        <v>4.853076591328124</v>
      </c>
      <c r="K33">
        <v>-0.81185200413574876</v>
      </c>
      <c r="L33">
        <v>32</v>
      </c>
      <c r="M33">
        <v>1024</v>
      </c>
      <c r="N33">
        <v>0</v>
      </c>
      <c r="O33" s="4">
        <v>3.2535477463994784</v>
      </c>
      <c r="P33" s="4">
        <v>2.7613381714669267</v>
      </c>
      <c r="Q33" s="4">
        <v>1.9419021276577746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7415805254197250</v>
      </c>
      <c r="X33" s="2">
        <v>6.2328033229999997</v>
      </c>
      <c r="Y33" s="2">
        <v>6.1748924069999997</v>
      </c>
      <c r="Z33" s="2">
        <v>7.8658786940000001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>
        <v>2.60443054583786</v>
      </c>
      <c r="AV33" s="5">
        <v>20.667692800000001</v>
      </c>
      <c r="AW33" s="6">
        <v>26.756666666666668</v>
      </c>
      <c r="AX33" s="6">
        <f t="shared" si="0"/>
        <v>3.2867836634753758</v>
      </c>
      <c r="AY33" s="5">
        <f t="shared" si="2"/>
        <v>-1.243859451242102</v>
      </c>
      <c r="AZ33" s="5">
        <f t="shared" si="1"/>
        <v>2.2638594322421017</v>
      </c>
      <c r="BA33" s="5">
        <f>$C33-AY34</f>
        <v>0.47222522997214811</v>
      </c>
      <c r="BB33">
        <v>0.88523099999999999</v>
      </c>
      <c r="BC33">
        <v>0</v>
      </c>
      <c r="BD33">
        <v>3.453333378</v>
      </c>
      <c r="BE33" s="5">
        <f>BD33-AY33</f>
        <v>4.6971928292421019</v>
      </c>
      <c r="BF33" s="5">
        <f>BD33-AY34</f>
        <v>2.9055586269721481</v>
      </c>
    </row>
    <row r="34" spans="1:58" x14ac:dyDescent="0.25">
      <c r="A34" t="s">
        <v>44</v>
      </c>
      <c r="B34">
        <v>0</v>
      </c>
      <c r="C34">
        <v>1.223333359</v>
      </c>
      <c r="D34">
        <v>0</v>
      </c>
      <c r="E34">
        <v>0.25</v>
      </c>
      <c r="F34">
        <v>3.5029112563997842</v>
      </c>
      <c r="G34">
        <v>2.964396393244138</v>
      </c>
      <c r="H34">
        <v>2.9625206016151724</v>
      </c>
      <c r="I34">
        <v>2.5363915924765088</v>
      </c>
      <c r="J34">
        <v>4.8676498284146739</v>
      </c>
      <c r="K34">
        <v>-0.82202534141889405</v>
      </c>
      <c r="L34">
        <v>33</v>
      </c>
      <c r="M34">
        <v>1089</v>
      </c>
      <c r="N34">
        <v>1.2583461736004111E-2</v>
      </c>
      <c r="O34" s="4">
        <v>3.2638874306975487</v>
      </c>
      <c r="P34" s="4">
        <v>2.7729636519448544</v>
      </c>
      <c r="Q34" s="4">
        <v>2.0278850547654339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7437995219367350</v>
      </c>
      <c r="X34" s="2">
        <v>6.2330986099999999</v>
      </c>
      <c r="Y34" s="2">
        <v>6.2318255349999996</v>
      </c>
      <c r="Z34" s="2">
        <v>7.8940197339999996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>
        <v>2.5722549462024</v>
      </c>
      <c r="AV34" s="5">
        <v>20.77077852</v>
      </c>
      <c r="AW34" s="6">
        <v>26.793333333333333</v>
      </c>
      <c r="AX34" s="6">
        <f t="shared" si="0"/>
        <v>3.2881531003529454</v>
      </c>
      <c r="AY34" s="5">
        <f t="shared" si="2"/>
        <v>0.54777475102785189</v>
      </c>
      <c r="AZ34" s="5">
        <f t="shared" si="1"/>
        <v>0.67555860797214806</v>
      </c>
      <c r="BA34" s="5">
        <f>$C34-AY35</f>
        <v>1.7711081100278518</v>
      </c>
      <c r="BB34">
        <v>1.0444370000000001</v>
      </c>
      <c r="BC34">
        <v>0</v>
      </c>
      <c r="BD34">
        <v>3.466666698</v>
      </c>
      <c r="BE34" s="5">
        <f>BD34-AY34</f>
        <v>2.9188919469721482</v>
      </c>
      <c r="BF34" s="5">
        <f>BD34-AY35</f>
        <v>4.0144414490278519</v>
      </c>
    </row>
    <row r="35" spans="1:58" x14ac:dyDescent="0.25">
      <c r="A35" t="s">
        <v>45</v>
      </c>
      <c r="B35">
        <v>0</v>
      </c>
      <c r="C35">
        <v>1.483333349</v>
      </c>
      <c r="D35">
        <v>0</v>
      </c>
      <c r="E35">
        <v>0.25</v>
      </c>
      <c r="F35">
        <v>3.492925395588685</v>
      </c>
      <c r="G35">
        <v>2.9808216608182367</v>
      </c>
      <c r="H35">
        <v>2.9751126262678573</v>
      </c>
      <c r="I35">
        <v>2.5783969928753394</v>
      </c>
      <c r="J35">
        <v>4.8754339364274086</v>
      </c>
      <c r="K35">
        <v>-0.80874233496824965</v>
      </c>
      <c r="L35">
        <v>34</v>
      </c>
      <c r="M35">
        <v>1156</v>
      </c>
      <c r="N35">
        <v>0</v>
      </c>
      <c r="O35" s="4">
        <v>3.2821885950799534</v>
      </c>
      <c r="P35" s="4">
        <v>2.7802468239816029</v>
      </c>
      <c r="Q35" s="4">
        <v>2.0806907610802678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745697088632574</v>
      </c>
      <c r="X35" s="2">
        <v>6.2365645589999996</v>
      </c>
      <c r="Y35" s="2">
        <v>6.2565652250000001</v>
      </c>
      <c r="Z35" s="2">
        <v>7.9101503099999997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>
        <v>2.5649595414307602</v>
      </c>
      <c r="AV35" s="5">
        <v>20.853633779999999</v>
      </c>
      <c r="AW35" s="6">
        <v>26.756666666666668</v>
      </c>
      <c r="AX35" s="6">
        <f t="shared" si="0"/>
        <v>3.2867836634753758</v>
      </c>
      <c r="AY35" s="5">
        <f t="shared" si="2"/>
        <v>-0.54777475102785189</v>
      </c>
      <c r="AZ35" s="5">
        <f t="shared" si="1"/>
        <v>2.0311081000278519</v>
      </c>
      <c r="BA35" s="5">
        <f>$C35-AY36</f>
        <v>1.1844541321057789</v>
      </c>
      <c r="BB35">
        <v>0.78921300000000005</v>
      </c>
      <c r="BC35">
        <v>0</v>
      </c>
      <c r="BD35">
        <v>3.5</v>
      </c>
      <c r="BE35" s="5">
        <f>BD35-AY35</f>
        <v>4.0477747510278519</v>
      </c>
      <c r="BF35" s="5">
        <f>BD35-AY36</f>
        <v>3.2011207831057789</v>
      </c>
    </row>
    <row r="36" spans="1:58" x14ac:dyDescent="0.25">
      <c r="A36" t="s">
        <v>46</v>
      </c>
      <c r="B36">
        <v>0</v>
      </c>
      <c r="C36">
        <v>1.8566666839999999</v>
      </c>
      <c r="D36">
        <v>0</v>
      </c>
      <c r="E36">
        <v>0.25</v>
      </c>
      <c r="F36">
        <v>3.4989893278200292</v>
      </c>
      <c r="G36">
        <v>2.9940809108047604</v>
      </c>
      <c r="H36">
        <v>2.9836868392184477</v>
      </c>
      <c r="I36">
        <v>2.6003165012988281</v>
      </c>
      <c r="J36">
        <v>4.8891453965085461</v>
      </c>
      <c r="K36">
        <v>-0.81562700617389827</v>
      </c>
      <c r="L36">
        <v>35</v>
      </c>
      <c r="M36">
        <v>1225</v>
      </c>
      <c r="N36">
        <v>0</v>
      </c>
      <c r="O36" s="4">
        <v>3.2888868445330117</v>
      </c>
      <c r="P36" s="4">
        <v>2.7904900333754679</v>
      </c>
      <c r="Q36" s="4">
        <v>2.1126345090355998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7469247020501520</v>
      </c>
      <c r="X36" s="2">
        <v>6.2445929859999998</v>
      </c>
      <c r="Y36" s="2">
        <v>6.2764194179999997</v>
      </c>
      <c r="Z36" s="2">
        <v>7.9235292890000002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>
        <v>2.5665574139695302</v>
      </c>
      <c r="AV36" s="5">
        <v>21.004657689999998</v>
      </c>
      <c r="AW36" s="6">
        <v>26.776666666666667</v>
      </c>
      <c r="AX36" s="6">
        <f t="shared" si="0"/>
        <v>3.2875308615176113</v>
      </c>
      <c r="AY36" s="5">
        <f t="shared" si="2"/>
        <v>0.29887921689422114</v>
      </c>
      <c r="AZ36" s="5">
        <f t="shared" si="1"/>
        <v>1.5577874671057788</v>
      </c>
      <c r="BA36" s="5">
        <f>$C36-AY37</f>
        <v>0.66337804264655942</v>
      </c>
      <c r="BB36">
        <v>0.78178800000000004</v>
      </c>
      <c r="BC36">
        <v>0</v>
      </c>
      <c r="BD36">
        <v>3.556666613</v>
      </c>
      <c r="BE36" s="5">
        <f>BD36-AY36</f>
        <v>3.2577873961057788</v>
      </c>
      <c r="BF36" s="5">
        <f>BD36-AY37</f>
        <v>2.3633779716465595</v>
      </c>
    </row>
    <row r="37" spans="1:58" x14ac:dyDescent="0.25">
      <c r="A37" t="s">
        <v>47</v>
      </c>
      <c r="B37">
        <v>0</v>
      </c>
      <c r="C37">
        <v>2.336666584</v>
      </c>
      <c r="D37">
        <v>0</v>
      </c>
      <c r="E37">
        <v>0.25</v>
      </c>
      <c r="F37">
        <v>3.4770775919974737</v>
      </c>
      <c r="G37">
        <v>2.9996744927866148</v>
      </c>
      <c r="H37">
        <v>3.0034634061835419</v>
      </c>
      <c r="I37">
        <v>2.601281286708927</v>
      </c>
      <c r="J37">
        <v>4.9003515681914234</v>
      </c>
      <c r="K37">
        <v>-0.81363312576561375</v>
      </c>
      <c r="L37">
        <v>36</v>
      </c>
      <c r="M37">
        <v>1296</v>
      </c>
      <c r="N37">
        <v>0</v>
      </c>
      <c r="O37" s="4">
        <v>3.3089724376196381</v>
      </c>
      <c r="P37" s="4">
        <v>2.8101855214043416</v>
      </c>
      <c r="Q37" s="4">
        <v>2.0859205077775451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7481725828282270</v>
      </c>
      <c r="X37" s="2">
        <v>6.2197348540000004</v>
      </c>
      <c r="Y37" s="2">
        <v>6.2939330099999999</v>
      </c>
      <c r="Z37" s="2">
        <v>7.9295225199999999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>
        <v>2.5659982652506002</v>
      </c>
      <c r="AV37" s="5">
        <v>21.216196029999999</v>
      </c>
      <c r="AW37" s="6">
        <v>26.856666666666666</v>
      </c>
      <c r="AX37" s="6">
        <f t="shared" si="0"/>
        <v>3.2905140831209949</v>
      </c>
      <c r="AY37" s="5">
        <f t="shared" si="2"/>
        <v>1.1932886413534405</v>
      </c>
      <c r="AZ37" s="5">
        <f t="shared" si="1"/>
        <v>1.1433779426465596</v>
      </c>
      <c r="BA37" s="5">
        <f>$C37-AY38</f>
        <v>2.287023394361285</v>
      </c>
      <c r="BB37">
        <v>0.94957400000000003</v>
      </c>
      <c r="BC37">
        <v>0</v>
      </c>
      <c r="BD37">
        <v>3.5966665739999999</v>
      </c>
      <c r="BE37" s="5">
        <f>BD37-AY37</f>
        <v>2.4033779326465594</v>
      </c>
      <c r="BF37" s="5">
        <f>BD37-AY38</f>
        <v>3.5470233843612848</v>
      </c>
    </row>
    <row r="38" spans="1:58" x14ac:dyDescent="0.25">
      <c r="A38" t="s">
        <v>48</v>
      </c>
      <c r="B38">
        <v>0</v>
      </c>
      <c r="C38">
        <v>2.3266665940000002</v>
      </c>
      <c r="D38">
        <v>0</v>
      </c>
      <c r="E38">
        <v>0.254000008</v>
      </c>
      <c r="F38">
        <v>3.4765212809434427</v>
      </c>
      <c r="G38">
        <v>2.9950820622124046</v>
      </c>
      <c r="H38">
        <v>3.0139530130702781</v>
      </c>
      <c r="I38">
        <v>2.579762180800679</v>
      </c>
      <c r="J38">
        <v>4.8983322160076552</v>
      </c>
      <c r="K38">
        <v>-0.79805413912183287</v>
      </c>
      <c r="L38">
        <v>37</v>
      </c>
      <c r="M38">
        <v>1369</v>
      </c>
      <c r="N38">
        <v>2.1126760563380284E-3</v>
      </c>
      <c r="O38" s="4">
        <v>3.3202042224526234</v>
      </c>
      <c r="P38" s="4">
        <v>2.819770450712618</v>
      </c>
      <c r="Q38" s="4">
        <v>2.0391402449063101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7483349022525910</v>
      </c>
      <c r="X38" s="2">
        <v>6.2247966420000003</v>
      </c>
      <c r="Y38" s="2">
        <v>6.2967701409999997</v>
      </c>
      <c r="Z38" s="2">
        <v>7.9256635299999996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>
        <v>2.53516052193359</v>
      </c>
      <c r="AV38" s="5">
        <v>21.428928800000001</v>
      </c>
      <c r="AW38" s="6">
        <v>26.86</v>
      </c>
      <c r="AX38" s="6">
        <f t="shared" si="0"/>
        <v>3.2906381910950917</v>
      </c>
      <c r="AY38" s="5">
        <f t="shared" si="2"/>
        <v>4.9643189638715057E-2</v>
      </c>
      <c r="AZ38" s="5">
        <f t="shared" si="1"/>
        <v>2.2770234043612851</v>
      </c>
      <c r="BA38" s="5">
        <f>$C38-AY39</f>
        <v>-0.29564473362078525</v>
      </c>
      <c r="BB38">
        <v>0.820577</v>
      </c>
      <c r="BC38">
        <v>0</v>
      </c>
      <c r="BD38">
        <v>3.5933332440000001</v>
      </c>
      <c r="BE38" s="5">
        <f>BD38-AY38</f>
        <v>3.543690054361285</v>
      </c>
      <c r="BF38" s="5">
        <f>BD38-AY39</f>
        <v>0.97102191637921464</v>
      </c>
    </row>
    <row r="39" spans="1:58" x14ac:dyDescent="0.25">
      <c r="A39" t="s">
        <v>49</v>
      </c>
      <c r="B39">
        <v>0</v>
      </c>
      <c r="C39">
        <v>2.5666666029999998</v>
      </c>
      <c r="D39">
        <v>0</v>
      </c>
      <c r="E39">
        <v>0.254000008</v>
      </c>
      <c r="F39">
        <v>3.497264850408389</v>
      </c>
      <c r="G39">
        <v>3.0029064773019911</v>
      </c>
      <c r="H39">
        <v>3.0178721413939171</v>
      </c>
      <c r="I39">
        <v>2.5877640352277083</v>
      </c>
      <c r="J39">
        <v>4.901192382714874</v>
      </c>
      <c r="K39">
        <v>-0.78274439852694944</v>
      </c>
      <c r="L39">
        <v>38</v>
      </c>
      <c r="M39">
        <v>1444</v>
      </c>
      <c r="N39">
        <v>1.4008872285780993E-3</v>
      </c>
      <c r="O39" s="4">
        <v>3.3176708346838621</v>
      </c>
      <c r="P39" s="4">
        <v>2.8293234352200853</v>
      </c>
      <c r="Q39" s="4">
        <v>2.0404408043301032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7486669925887190</v>
      </c>
      <c r="X39" s="2">
        <v>6.2566783770000001</v>
      </c>
      <c r="Y39" s="2">
        <v>6.3114387079999998</v>
      </c>
      <c r="Z39" s="2">
        <v>7.9338685570000003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>
        <v>2.5207612651512998</v>
      </c>
      <c r="AV39" s="5">
        <v>21.554805399999999</v>
      </c>
      <c r="AW39" s="6">
        <v>27.036666666666665</v>
      </c>
      <c r="AX39" s="6">
        <f t="shared" si="0"/>
        <v>3.2971939694141437</v>
      </c>
      <c r="AY39" s="5">
        <f t="shared" si="2"/>
        <v>2.6223113276207854</v>
      </c>
      <c r="AZ39" s="5">
        <f t="shared" si="1"/>
        <v>-5.5644724620785624E-2</v>
      </c>
      <c r="BA39" s="5">
        <f>$C39-AY40</f>
        <v>-1.5545522400341358</v>
      </c>
      <c r="BB39">
        <v>0.81580600000000003</v>
      </c>
      <c r="BC39">
        <v>0</v>
      </c>
      <c r="BD39">
        <v>3.7233333590000002</v>
      </c>
      <c r="BE39" s="5">
        <f>BD39-AY39</f>
        <v>1.1010220313792147</v>
      </c>
      <c r="BF39" s="5">
        <f>BD39-AY40</f>
        <v>-0.39788548403413548</v>
      </c>
    </row>
    <row r="40" spans="1:58" x14ac:dyDescent="0.25">
      <c r="A40" t="s">
        <v>50</v>
      </c>
      <c r="B40">
        <v>0</v>
      </c>
      <c r="C40">
        <v>2.5833332539999998</v>
      </c>
      <c r="D40">
        <v>0</v>
      </c>
      <c r="E40">
        <v>0.254000008</v>
      </c>
      <c r="F40">
        <v>3.4877725524165659</v>
      </c>
      <c r="G40">
        <v>3.0016646422070994</v>
      </c>
      <c r="H40">
        <v>3.0232263369507133</v>
      </c>
      <c r="I40">
        <v>2.5861838400081902</v>
      </c>
      <c r="J40">
        <v>4.8998824883610723</v>
      </c>
      <c r="K40">
        <v>-0.78565369727599688</v>
      </c>
      <c r="L40">
        <v>39</v>
      </c>
      <c r="M40">
        <v>1521</v>
      </c>
      <c r="N40">
        <v>6.9092584062643942E-3</v>
      </c>
      <c r="O40" s="4">
        <v>3.318359103353151</v>
      </c>
      <c r="P40" s="4">
        <v>2.8397799717801044</v>
      </c>
      <c r="Q40" s="4">
        <v>2.0227389063100398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7488928456238920</v>
      </c>
      <c r="X40" s="2">
        <v>6.2394631790000004</v>
      </c>
      <c r="Y40" s="2">
        <v>6.2990254400000003</v>
      </c>
      <c r="Z40" s="2">
        <v>7.9330439029999997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>
        <v>2.4994538983137802</v>
      </c>
      <c r="AV40" s="5">
        <v>21.83011084</v>
      </c>
      <c r="AW40" s="6">
        <v>27.316666666666666</v>
      </c>
      <c r="AX40" s="6">
        <f t="shared" si="0"/>
        <v>3.307497016521729</v>
      </c>
      <c r="AY40" s="5">
        <f t="shared" si="2"/>
        <v>4.1212188430341357</v>
      </c>
      <c r="AZ40" s="5">
        <f t="shared" si="1"/>
        <v>-1.5378855890341359</v>
      </c>
      <c r="BA40" s="5">
        <f>$C40-AY41</f>
        <v>-0.81887437687781839</v>
      </c>
      <c r="BB40">
        <v>0.95219299999999996</v>
      </c>
      <c r="BC40">
        <v>0</v>
      </c>
      <c r="BD40">
        <v>3.9333333970000002</v>
      </c>
      <c r="BE40" s="5">
        <f>BD40-AY40</f>
        <v>-0.18788544603413548</v>
      </c>
      <c r="BF40" s="5">
        <f>BD40-AY41</f>
        <v>0.53112576612218199</v>
      </c>
    </row>
    <row r="41" spans="1:58" x14ac:dyDescent="0.25">
      <c r="A41" t="s">
        <v>51</v>
      </c>
      <c r="B41">
        <v>0</v>
      </c>
      <c r="C41">
        <v>3.033333302</v>
      </c>
      <c r="D41">
        <v>0</v>
      </c>
      <c r="E41">
        <v>0.254000008</v>
      </c>
      <c r="F41">
        <v>3.5134242697372593</v>
      </c>
      <c r="G41">
        <v>3.0178850781951243</v>
      </c>
      <c r="H41">
        <v>3.0338991628799445</v>
      </c>
      <c r="I41">
        <v>2.579231495825562</v>
      </c>
      <c r="J41">
        <v>4.8994653437101183</v>
      </c>
      <c r="K41">
        <v>-0.76636596770611876</v>
      </c>
      <c r="L41">
        <v>40</v>
      </c>
      <c r="M41">
        <v>1600</v>
      </c>
      <c r="N41">
        <v>1.1384335154826959E-3</v>
      </c>
      <c r="O41" s="4">
        <v>3.3263301469826034</v>
      </c>
      <c r="P41" s="4">
        <v>2.8527275791369866</v>
      </c>
      <c r="Q41" s="4">
        <v>2.0543801110844648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7502620167384250</v>
      </c>
      <c r="X41" s="2">
        <v>6.2684780809999996</v>
      </c>
      <c r="Y41" s="2">
        <v>6.330539731</v>
      </c>
      <c r="Z41" s="2">
        <v>7.9492679759999998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>
        <v>2.4952365091995001</v>
      </c>
      <c r="AV41" s="5">
        <v>21.914123629999999</v>
      </c>
      <c r="AW41" s="6">
        <v>27.55</v>
      </c>
      <c r="AX41" s="6">
        <f t="shared" si="0"/>
        <v>3.3160025355989236</v>
      </c>
      <c r="AY41" s="5">
        <f t="shared" si="2"/>
        <v>3.4022076308778182</v>
      </c>
      <c r="AZ41" s="5">
        <f t="shared" si="1"/>
        <v>-0.36887432887781824</v>
      </c>
      <c r="BA41" s="5">
        <f>$C41-AY42</f>
        <v>-0.24418834883285978</v>
      </c>
      <c r="BB41">
        <v>1.0782320000000001</v>
      </c>
      <c r="BC41">
        <v>0</v>
      </c>
      <c r="BD41">
        <v>4.2599997519999997</v>
      </c>
      <c r="BE41" s="5">
        <f>BD41-AY41</f>
        <v>0.85779212112218151</v>
      </c>
      <c r="BF41" s="5">
        <f>BD41-AY42</f>
        <v>0.98247810116713996</v>
      </c>
    </row>
    <row r="42" spans="1:58" x14ac:dyDescent="0.25">
      <c r="A42" t="s">
        <v>52</v>
      </c>
      <c r="B42">
        <v>0</v>
      </c>
      <c r="C42">
        <v>3.0966665739999999</v>
      </c>
      <c r="D42">
        <v>0</v>
      </c>
      <c r="E42">
        <v>0.25499999499999998</v>
      </c>
      <c r="F42">
        <v>3.5337449571639459</v>
      </c>
      <c r="G42">
        <v>3.0240281427088385</v>
      </c>
      <c r="H42">
        <v>3.0386371744378873</v>
      </c>
      <c r="I42">
        <v>2.579231495825562</v>
      </c>
      <c r="J42">
        <v>4.8971604647774036</v>
      </c>
      <c r="K42">
        <v>-0.76103145034325903</v>
      </c>
      <c r="L42">
        <v>41</v>
      </c>
      <c r="M42">
        <v>1681</v>
      </c>
      <c r="N42">
        <v>0</v>
      </c>
      <c r="O42" s="4">
        <v>3.3323473571149513</v>
      </c>
      <c r="P42" s="4">
        <v>2.8565851421438326</v>
      </c>
      <c r="Q42" s="4">
        <v>2.0724169267428714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750955113312657</v>
      </c>
      <c r="X42" s="2">
        <v>6.2959878260000002</v>
      </c>
      <c r="Y42" s="2">
        <v>6.3407795839999999</v>
      </c>
      <c r="Z42" s="2">
        <v>7.9557056529999999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>
        <v>2.4861558692884298</v>
      </c>
      <c r="AV42" s="5">
        <v>22.222222219999999</v>
      </c>
      <c r="AW42" s="6">
        <v>27.776666666666667</v>
      </c>
      <c r="AX42" s="6">
        <f t="shared" si="0"/>
        <v>3.3241963397260057</v>
      </c>
      <c r="AY42" s="5">
        <f t="shared" si="2"/>
        <v>3.2775216508328597</v>
      </c>
      <c r="AZ42" s="5">
        <f t="shared" si="1"/>
        <v>-0.18085507683285984</v>
      </c>
      <c r="BA42" s="5">
        <f>$C42-AY43</f>
        <v>-0.29703245907371612</v>
      </c>
      <c r="BB42">
        <v>1.0369330000000001</v>
      </c>
      <c r="BC42">
        <v>0</v>
      </c>
      <c r="BD42">
        <v>4.4633331299999996</v>
      </c>
      <c r="BE42" s="5">
        <f>BD42-AY42</f>
        <v>1.1858114791671399</v>
      </c>
      <c r="BF42" s="5">
        <f>BD42-AY43</f>
        <v>1.0696340969262836</v>
      </c>
    </row>
    <row r="43" spans="1:58" x14ac:dyDescent="0.25">
      <c r="A43" t="s">
        <v>53</v>
      </c>
      <c r="B43">
        <v>0</v>
      </c>
      <c r="C43">
        <v>3.1399998660000001</v>
      </c>
      <c r="D43">
        <v>0</v>
      </c>
      <c r="E43">
        <v>0.25499999499999998</v>
      </c>
      <c r="F43">
        <v>3.5275069260703646</v>
      </c>
      <c r="G43">
        <v>3.0215949330797183</v>
      </c>
      <c r="H43">
        <v>3.0452045840563202</v>
      </c>
      <c r="I43">
        <v>2.5695541238482851</v>
      </c>
      <c r="J43">
        <v>4.8933446372015519</v>
      </c>
      <c r="K43">
        <v>-0.75729154443390523</v>
      </c>
      <c r="L43">
        <v>42</v>
      </c>
      <c r="M43">
        <v>1764</v>
      </c>
      <c r="N43">
        <v>5.2493438320209973E-3</v>
      </c>
      <c r="O43" s="4">
        <v>3.3361253849184407</v>
      </c>
      <c r="P43" s="4">
        <v>2.8651679035328743</v>
      </c>
      <c r="Q43" s="4">
        <v>2.0485956615087346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751129280084927</v>
      </c>
      <c r="X43" s="2">
        <v>6.2912146870000001</v>
      </c>
      <c r="Y43" s="2">
        <v>6.3197880599999996</v>
      </c>
      <c r="Z43" s="2">
        <v>7.9534940780000003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>
        <v>2.4450686727984099</v>
      </c>
      <c r="AV43" s="5">
        <v>22.37380628</v>
      </c>
      <c r="AW43" s="6">
        <v>28.013333333333332</v>
      </c>
      <c r="AX43" s="6">
        <f t="shared" si="0"/>
        <v>3.33268058730869</v>
      </c>
      <c r="AY43" s="5">
        <f t="shared" si="2"/>
        <v>3.393699033073716</v>
      </c>
      <c r="AZ43" s="5">
        <f t="shared" si="1"/>
        <v>-0.25369916707371587</v>
      </c>
      <c r="BA43" s="5">
        <f>$C43-AY44</f>
        <v>-0.41389426964477494</v>
      </c>
      <c r="BB43">
        <v>0.90318799999999999</v>
      </c>
      <c r="BC43">
        <v>0</v>
      </c>
      <c r="BD43">
        <v>4.5300002099999999</v>
      </c>
      <c r="BE43" s="5">
        <f>BD43-AY43</f>
        <v>1.1363011769262839</v>
      </c>
      <c r="BF43" s="5">
        <f>BD43-AY44</f>
        <v>0.97610607435522478</v>
      </c>
    </row>
    <row r="44" spans="1:58" x14ac:dyDescent="0.25">
      <c r="A44" t="s">
        <v>54</v>
      </c>
      <c r="B44">
        <v>0</v>
      </c>
      <c r="C44">
        <v>3.353333235</v>
      </c>
      <c r="D44">
        <v>0</v>
      </c>
      <c r="E44">
        <v>0.25499999499999998</v>
      </c>
      <c r="F44">
        <v>3.535145354171894</v>
      </c>
      <c r="G44">
        <v>3.0311959378295601</v>
      </c>
      <c r="H44">
        <v>3.055772946552556</v>
      </c>
      <c r="I44">
        <v>2.5795347788667828</v>
      </c>
      <c r="J44">
        <v>4.8959200479579179</v>
      </c>
      <c r="K44">
        <v>-0.75364767425690515</v>
      </c>
      <c r="L44">
        <v>43</v>
      </c>
      <c r="M44">
        <v>1849</v>
      </c>
      <c r="N44">
        <v>0</v>
      </c>
      <c r="O44" s="4">
        <v>3.3499040872746049</v>
      </c>
      <c r="P44" s="4">
        <v>2.8724906166959525</v>
      </c>
      <c r="Q44" s="4">
        <v>2.0417396744958243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7519164065003840</v>
      </c>
      <c r="X44" s="2">
        <v>6.2996035270000004</v>
      </c>
      <c r="Y44" s="2">
        <v>6.314870999</v>
      </c>
      <c r="Z44" s="2">
        <v>7.96318167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>
        <v>2.4556411897983002</v>
      </c>
      <c r="AV44" s="5">
        <v>22.507479969999999</v>
      </c>
      <c r="AW44" s="6">
        <v>28.263333333333332</v>
      </c>
      <c r="AX44" s="6">
        <f t="shared" si="0"/>
        <v>3.3415653226478019</v>
      </c>
      <c r="AY44" s="5">
        <f t="shared" si="2"/>
        <v>3.5538941356447751</v>
      </c>
      <c r="AZ44" s="5">
        <f t="shared" si="1"/>
        <v>-0.20056090064477505</v>
      </c>
      <c r="BA44" s="5">
        <f>$C44-AY45</f>
        <v>1.4238042272566309</v>
      </c>
      <c r="BB44">
        <v>0.88269699999999995</v>
      </c>
      <c r="BC44">
        <v>0</v>
      </c>
      <c r="BD44">
        <v>4.8266668319999999</v>
      </c>
      <c r="BE44" s="5">
        <f>BD44-AY44</f>
        <v>1.2727726963552248</v>
      </c>
      <c r="BF44" s="5">
        <f>BD44-AY45</f>
        <v>2.8971378242566308</v>
      </c>
    </row>
    <row r="45" spans="1:58" x14ac:dyDescent="0.25">
      <c r="A45" t="s">
        <v>55</v>
      </c>
      <c r="B45">
        <v>0</v>
      </c>
      <c r="C45">
        <v>3.3099999430000002</v>
      </c>
      <c r="D45">
        <v>0</v>
      </c>
      <c r="E45">
        <v>0.25499999499999998</v>
      </c>
      <c r="F45">
        <v>3.5532029051430256</v>
      </c>
      <c r="G45">
        <v>3.0206199890617702</v>
      </c>
      <c r="H45">
        <v>3.0581297281498028</v>
      </c>
      <c r="I45">
        <v>2.5610957881455465</v>
      </c>
      <c r="J45">
        <v>4.8759375072126332</v>
      </c>
      <c r="K45">
        <v>-0.73461968115858556</v>
      </c>
      <c r="L45">
        <v>44</v>
      </c>
      <c r="M45">
        <v>1936</v>
      </c>
      <c r="N45">
        <v>2.2084048027444257E-2</v>
      </c>
      <c r="O45" s="4">
        <v>3.3433563819723053</v>
      </c>
      <c r="P45" s="4">
        <v>2.8834030885800712</v>
      </c>
      <c r="Q45" s="4">
        <v>2.0299886579603057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7519580141850070</v>
      </c>
      <c r="X45" s="2">
        <v>6.3239661140000001</v>
      </c>
      <c r="Y45" s="2">
        <v>6.2711485580000002</v>
      </c>
      <c r="Z45" s="2">
        <v>7.9528613000000004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>
        <v>2.4904683306009301</v>
      </c>
      <c r="AV45" s="5">
        <v>22.50780336</v>
      </c>
      <c r="AW45" s="6">
        <v>28.4</v>
      </c>
      <c r="AX45" s="6">
        <f t="shared" si="0"/>
        <v>3.3463891451671604</v>
      </c>
      <c r="AY45" s="5">
        <f t="shared" si="2"/>
        <v>1.9295290077433691</v>
      </c>
      <c r="AZ45" s="5">
        <f t="shared" si="1"/>
        <v>1.3804709352566311</v>
      </c>
      <c r="BA45" s="5">
        <f>$C45-AY46</f>
        <v>-1.4038986116254728</v>
      </c>
      <c r="BB45">
        <v>1.048643</v>
      </c>
      <c r="BC45">
        <v>0</v>
      </c>
      <c r="BD45">
        <v>5.0366668700000004</v>
      </c>
      <c r="BE45" s="5">
        <f>BD45-AY45</f>
        <v>3.1071378622566312</v>
      </c>
      <c r="BF45" s="5">
        <f>BD45-AY46</f>
        <v>0.32276831537452733</v>
      </c>
    </row>
    <row r="46" spans="1:58" x14ac:dyDescent="0.25">
      <c r="A46" t="s">
        <v>56</v>
      </c>
      <c r="B46">
        <v>0</v>
      </c>
      <c r="C46">
        <v>1.75666666</v>
      </c>
      <c r="D46">
        <v>0</v>
      </c>
      <c r="E46">
        <v>0.25299999099999998</v>
      </c>
      <c r="F46">
        <v>3.5419733025409363</v>
      </c>
      <c r="G46">
        <v>2.9931790167662737</v>
      </c>
      <c r="H46">
        <v>3.0536130983645102</v>
      </c>
      <c r="I46">
        <v>2.4971645471835022</v>
      </c>
      <c r="J46">
        <v>4.8522411791754303</v>
      </c>
      <c r="K46">
        <v>-0.73486257769324026</v>
      </c>
      <c r="L46">
        <v>45</v>
      </c>
      <c r="M46">
        <v>2025</v>
      </c>
      <c r="N46">
        <v>1.5167930660888406E-3</v>
      </c>
      <c r="O46" s="4">
        <v>3.3343094361205234</v>
      </c>
      <c r="P46" s="4">
        <v>2.8824515870950247</v>
      </c>
      <c r="Q46" s="4">
        <v>1.9610802138447581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7505649578096170</v>
      </c>
      <c r="X46" s="2">
        <v>6.3121310250000002</v>
      </c>
      <c r="Y46" s="2">
        <v>6.2082001020000002</v>
      </c>
      <c r="Z46" s="2">
        <v>7.9266025989999997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>
        <v>2.4829407214736801</v>
      </c>
      <c r="AV46" s="5">
        <v>22.753020200000002</v>
      </c>
      <c r="AW46" s="6">
        <v>28.736666666666668</v>
      </c>
      <c r="AX46" s="6">
        <f t="shared" si="0"/>
        <v>3.358173891553724</v>
      </c>
      <c r="AY46" s="5">
        <f t="shared" si="2"/>
        <v>4.713898554625473</v>
      </c>
      <c r="AZ46" s="5">
        <f t="shared" si="1"/>
        <v>-2.957231894625473</v>
      </c>
      <c r="BA46" s="5">
        <f>$C46-AY47</f>
        <v>-0.92542431372782419</v>
      </c>
      <c r="BB46">
        <v>1.025471</v>
      </c>
      <c r="BC46">
        <v>0</v>
      </c>
      <c r="BD46">
        <v>4.7233333589999997</v>
      </c>
      <c r="BE46" s="5">
        <f>BD46-AY46</f>
        <v>9.4348043745267063E-3</v>
      </c>
      <c r="BF46" s="5">
        <f>BD46-AY47</f>
        <v>2.0412423852721755</v>
      </c>
    </row>
    <row r="47" spans="1:58" x14ac:dyDescent="0.25">
      <c r="A47" t="s">
        <v>57</v>
      </c>
      <c r="B47">
        <v>0</v>
      </c>
      <c r="C47">
        <v>0.95666664800000001</v>
      </c>
      <c r="D47">
        <v>0</v>
      </c>
      <c r="E47">
        <v>0.25299999099999998</v>
      </c>
      <c r="F47">
        <v>3.5667118201397288</v>
      </c>
      <c r="G47">
        <v>2.9992759871773562</v>
      </c>
      <c r="H47">
        <v>3.0651471350572965</v>
      </c>
      <c r="I47">
        <v>2.4683537364469319</v>
      </c>
      <c r="J47">
        <v>4.8468292621275531</v>
      </c>
      <c r="K47">
        <v>-0.73222249380263382</v>
      </c>
      <c r="L47">
        <v>46</v>
      </c>
      <c r="M47">
        <v>2116</v>
      </c>
      <c r="N47">
        <v>0</v>
      </c>
      <c r="O47" s="4">
        <v>3.3433563819723053</v>
      </c>
      <c r="P47" s="4">
        <v>2.8967955256939675</v>
      </c>
      <c r="Q47" s="4">
        <v>1.9457672817074025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7513883264340070</v>
      </c>
      <c r="X47" s="2">
        <v>6.3461618350000002</v>
      </c>
      <c r="Y47" s="2">
        <v>6.1873467260000004</v>
      </c>
      <c r="Z47" s="2">
        <v>7.9331873699999997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>
        <v>2.4899049089625702</v>
      </c>
      <c r="AV47" s="5">
        <v>22.81899258</v>
      </c>
      <c r="AW47" s="6">
        <v>28.93</v>
      </c>
      <c r="AX47" s="6">
        <f t="shared" si="0"/>
        <v>3.3648791189880436</v>
      </c>
      <c r="AY47" s="5">
        <f t="shared" si="2"/>
        <v>2.6820909737278242</v>
      </c>
      <c r="AZ47" s="5">
        <f t="shared" si="1"/>
        <v>-1.7254243257278241</v>
      </c>
      <c r="BA47" s="5">
        <f>$C47-AY48</f>
        <v>1.1871743475732237</v>
      </c>
      <c r="BB47">
        <v>0.99967200000000001</v>
      </c>
      <c r="BC47">
        <v>0</v>
      </c>
      <c r="BD47">
        <v>4.6133332249999999</v>
      </c>
      <c r="BE47" s="5">
        <f>BD47-AY47</f>
        <v>1.9312422512721756</v>
      </c>
      <c r="BF47" s="5">
        <f>BD47-AY48</f>
        <v>4.8438409245732235</v>
      </c>
    </row>
    <row r="48" spans="1:58" x14ac:dyDescent="0.25">
      <c r="A48" t="s">
        <v>58</v>
      </c>
      <c r="B48">
        <v>0</v>
      </c>
      <c r="C48">
        <v>1.6800000669999999</v>
      </c>
      <c r="D48">
        <v>-0.5</v>
      </c>
      <c r="E48">
        <v>0.25299999099999998</v>
      </c>
      <c r="F48">
        <v>3.5729353515831104</v>
      </c>
      <c r="G48">
        <v>3.0224228888070357</v>
      </c>
      <c r="H48">
        <v>3.080455694959912</v>
      </c>
      <c r="I48">
        <v>2.4825705899904524</v>
      </c>
      <c r="J48">
        <v>4.8535135383240435</v>
      </c>
      <c r="K48">
        <v>-0.72045836008717301</v>
      </c>
      <c r="L48">
        <v>47</v>
      </c>
      <c r="M48">
        <v>2209</v>
      </c>
      <c r="N48">
        <v>0</v>
      </c>
      <c r="O48" s="4">
        <v>3.3614511971396399</v>
      </c>
      <c r="P48" s="4">
        <v>2.9101199174780685</v>
      </c>
      <c r="Q48" s="4">
        <v>1.9662728435741978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7530338354313640</v>
      </c>
      <c r="X48" s="2">
        <v>6.3514168389999996</v>
      </c>
      <c r="Y48" s="2">
        <v>6.2240016740000002</v>
      </c>
      <c r="Z48" s="2">
        <v>7.9560211929999998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>
        <v>2.4491999967953801</v>
      </c>
      <c r="AV48" s="5">
        <v>22.96382844</v>
      </c>
      <c r="AW48" s="6">
        <v>28.913333333333334</v>
      </c>
      <c r="AX48" s="6">
        <f t="shared" si="0"/>
        <v>3.3643028497391105</v>
      </c>
      <c r="AY48" s="5">
        <f t="shared" si="2"/>
        <v>-0.23050769957322359</v>
      </c>
      <c r="AZ48" s="5">
        <f t="shared" si="1"/>
        <v>1.9105077665732235</v>
      </c>
      <c r="BA48" s="5">
        <f>$C48-AY49</f>
        <v>1.2651818008666122</v>
      </c>
      <c r="BB48">
        <v>0.90218500000000001</v>
      </c>
      <c r="BC48">
        <v>0</v>
      </c>
      <c r="BD48">
        <v>4.6900000569999998</v>
      </c>
      <c r="BE48" s="5">
        <f>BD48-AY48</f>
        <v>4.9205077565732234</v>
      </c>
      <c r="BF48" s="5">
        <f>BD48-AY49</f>
        <v>4.2751817908666121</v>
      </c>
    </row>
    <row r="49" spans="1:58" x14ac:dyDescent="0.25">
      <c r="A49" t="s">
        <v>59</v>
      </c>
      <c r="B49">
        <v>0</v>
      </c>
      <c r="C49">
        <v>2.6900000569999998</v>
      </c>
      <c r="D49">
        <v>0</v>
      </c>
      <c r="E49">
        <v>0.25299999099999998</v>
      </c>
      <c r="F49">
        <v>3.5940466603427645</v>
      </c>
      <c r="G49">
        <v>3.045474365448805</v>
      </c>
      <c r="H49">
        <v>3.0902202363396167</v>
      </c>
      <c r="I49">
        <v>2.5423104038999331</v>
      </c>
      <c r="J49">
        <v>4.8675267581183039</v>
      </c>
      <c r="K49">
        <v>-0.71663666787362623</v>
      </c>
      <c r="L49">
        <v>48</v>
      </c>
      <c r="M49">
        <v>2304</v>
      </c>
      <c r="N49">
        <v>0</v>
      </c>
      <c r="O49" s="4">
        <v>3.3750929395760472</v>
      </c>
      <c r="P49" s="4">
        <v>2.9160936508937745</v>
      </c>
      <c r="Q49" s="4">
        <v>2.0022904824914209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7543830394915100</v>
      </c>
      <c r="X49" s="2">
        <v>6.3729758250000001</v>
      </c>
      <c r="Y49" s="2">
        <v>6.275771422</v>
      </c>
      <c r="Z49" s="2">
        <v>7.9791676479999998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>
        <v>2.4652876138209798</v>
      </c>
      <c r="AV49" s="5">
        <v>23.073263560000001</v>
      </c>
      <c r="AW49" s="6">
        <v>28.943333333333332</v>
      </c>
      <c r="AX49" s="6">
        <f t="shared" si="0"/>
        <v>3.365339895404444</v>
      </c>
      <c r="AY49" s="5">
        <f t="shared" si="2"/>
        <v>0.41481826613338768</v>
      </c>
      <c r="AZ49" s="5">
        <f t="shared" si="1"/>
        <v>2.2751817908666121</v>
      </c>
      <c r="BA49" s="5">
        <f>$C49-AY50</f>
        <v>1.9995908182245197</v>
      </c>
      <c r="BB49">
        <v>0.88733600000000001</v>
      </c>
      <c r="BC49">
        <v>0</v>
      </c>
      <c r="BD49">
        <v>4.8800001139999996</v>
      </c>
      <c r="BE49" s="5">
        <f>BD49-AY49</f>
        <v>4.4651818478666119</v>
      </c>
      <c r="BF49" s="5">
        <f>BD49-AY50</f>
        <v>4.1895908752245195</v>
      </c>
    </row>
    <row r="50" spans="1:58" x14ac:dyDescent="0.25">
      <c r="A50" t="s">
        <v>60</v>
      </c>
      <c r="B50">
        <v>0</v>
      </c>
      <c r="C50">
        <v>2.773333311</v>
      </c>
      <c r="D50">
        <v>0</v>
      </c>
      <c r="E50">
        <v>0.26499998600000002</v>
      </c>
      <c r="F50">
        <v>3.5875386264522606</v>
      </c>
      <c r="G50">
        <v>3.065491517968844</v>
      </c>
      <c r="H50">
        <v>3.1031157842268495</v>
      </c>
      <c r="I50">
        <v>2.6018745384875426</v>
      </c>
      <c r="J50">
        <v>4.8792653733312807</v>
      </c>
      <c r="K50">
        <v>-0.70256167299117045</v>
      </c>
      <c r="L50">
        <v>49</v>
      </c>
      <c r="M50">
        <v>2401</v>
      </c>
      <c r="N50">
        <v>3.092783505154639E-3</v>
      </c>
      <c r="O50" s="4">
        <v>3.3880445950838549</v>
      </c>
      <c r="P50" s="4">
        <v>2.9289512398636397</v>
      </c>
      <c r="Q50" s="4">
        <v>2.0550207671381537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7561992698038320</v>
      </c>
      <c r="X50" s="2">
        <v>6.3592206579999999</v>
      </c>
      <c r="Y50" s="2">
        <v>6.3316538280000003</v>
      </c>
      <c r="Z50" s="2">
        <v>7.997595875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>
        <v>2.45834612299869</v>
      </c>
      <c r="AV50" s="5">
        <v>23.10561903</v>
      </c>
      <c r="AW50" s="6">
        <v>28.993333333333332</v>
      </c>
      <c r="AX50" s="6">
        <f t="shared" si="0"/>
        <v>3.3670659185013827</v>
      </c>
      <c r="AY50" s="5">
        <f t="shared" si="2"/>
        <v>0.69040923877548011</v>
      </c>
      <c r="AZ50" s="5">
        <f t="shared" si="1"/>
        <v>2.0829240722245199</v>
      </c>
      <c r="BA50" s="5">
        <f>$C50-AY51</f>
        <v>2.0841136815187919</v>
      </c>
      <c r="BB50">
        <v>0.98546599999999995</v>
      </c>
      <c r="BC50">
        <v>0</v>
      </c>
      <c r="BD50">
        <v>4.8699998860000004</v>
      </c>
      <c r="BE50" s="5">
        <f>BD50-AY50</f>
        <v>4.1795906472245203</v>
      </c>
      <c r="BF50" s="5">
        <f>BD50-AY51</f>
        <v>4.1807802565187924</v>
      </c>
    </row>
    <row r="51" spans="1:58" x14ac:dyDescent="0.25">
      <c r="A51" t="s">
        <v>61</v>
      </c>
      <c r="B51">
        <v>0</v>
      </c>
      <c r="C51">
        <v>3</v>
      </c>
      <c r="D51">
        <v>0</v>
      </c>
      <c r="E51">
        <v>0.26499998600000002</v>
      </c>
      <c r="F51">
        <v>3.6026677572948707</v>
      </c>
      <c r="G51">
        <v>3.0904513696118228</v>
      </c>
      <c r="H51">
        <v>3.1151482042002989</v>
      </c>
      <c r="I51">
        <v>2.633757596520355</v>
      </c>
      <c r="J51">
        <v>4.8998973831665094</v>
      </c>
      <c r="K51">
        <v>-0.70142786623860931</v>
      </c>
      <c r="L51">
        <v>50</v>
      </c>
      <c r="M51">
        <v>2500</v>
      </c>
      <c r="N51">
        <v>0</v>
      </c>
      <c r="O51" s="4">
        <v>3.3962853373011348</v>
      </c>
      <c r="P51" s="4">
        <v>2.943701865459607</v>
      </c>
      <c r="Q51" s="4">
        <v>2.0919875108483543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7577318532133100</v>
      </c>
      <c r="X51" s="2">
        <v>6.3688417829999997</v>
      </c>
      <c r="Y51" s="2">
        <v>6.3738095030000004</v>
      </c>
      <c r="Z51" s="2">
        <v>8.0216173630000007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>
        <v>2.45703767401442</v>
      </c>
      <c r="AV51" s="5">
        <v>23.127302499999999</v>
      </c>
      <c r="AW51" s="6">
        <v>29.043333333333333</v>
      </c>
      <c r="AX51" s="6">
        <f t="shared" si="0"/>
        <v>3.3687889675750857</v>
      </c>
      <c r="AY51" s="5">
        <f t="shared" si="2"/>
        <v>0.68921962948120807</v>
      </c>
      <c r="AZ51" s="5">
        <f t="shared" si="1"/>
        <v>2.3107803705187919</v>
      </c>
      <c r="BA51" s="5">
        <f>$C51-AY52</f>
        <v>0.93943794797730362</v>
      </c>
      <c r="BB51">
        <v>0.92177299999999995</v>
      </c>
      <c r="BC51">
        <v>0</v>
      </c>
      <c r="BD51">
        <v>4.953333378</v>
      </c>
      <c r="BE51" s="5">
        <f>BD51-AY51</f>
        <v>4.2641137485187919</v>
      </c>
      <c r="BF51" s="5">
        <f>BD51-AY52</f>
        <v>2.8927713259773036</v>
      </c>
    </row>
    <row r="52" spans="1:58" x14ac:dyDescent="0.25">
      <c r="A52" t="s">
        <v>62</v>
      </c>
      <c r="B52">
        <v>0</v>
      </c>
      <c r="C52">
        <v>3.539999962</v>
      </c>
      <c r="D52">
        <v>0</v>
      </c>
      <c r="E52">
        <v>0.26499998600000002</v>
      </c>
      <c r="F52">
        <v>3.615179091183979</v>
      </c>
      <c r="G52">
        <v>3.0892681529451558</v>
      </c>
      <c r="H52">
        <v>3.1239130704246953</v>
      </c>
      <c r="I52">
        <v>2.6458910691938238</v>
      </c>
      <c r="J52">
        <v>4.8913561398123342</v>
      </c>
      <c r="K52">
        <v>-0.68997334521270781</v>
      </c>
      <c r="L52">
        <v>51</v>
      </c>
      <c r="M52">
        <v>2601</v>
      </c>
      <c r="N52">
        <v>0</v>
      </c>
      <c r="O52" s="4">
        <v>3.4000967762181222</v>
      </c>
      <c r="P52" s="4">
        <v>2.9570434189388792</v>
      </c>
      <c r="Q52" s="4">
        <v>2.1111824274638984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7587711337995010</v>
      </c>
      <c r="X52" s="2">
        <v>6.3730085729999999</v>
      </c>
      <c r="Y52" s="2">
        <v>6.3630780050000002</v>
      </c>
      <c r="Z52" s="2">
        <v>8.0196785819999992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>
        <v>2.4609294353087701</v>
      </c>
      <c r="AV52" s="5">
        <v>23.19111152</v>
      </c>
      <c r="AW52" s="6">
        <v>29.193333333333332</v>
      </c>
      <c r="AX52" s="6">
        <f t="shared" si="0"/>
        <v>3.3739403727051425</v>
      </c>
      <c r="AY52" s="5">
        <f t="shared" si="2"/>
        <v>2.0605620520226964</v>
      </c>
      <c r="AZ52" s="5">
        <f t="shared" si="1"/>
        <v>1.4794379099773036</v>
      </c>
      <c r="BA52" s="5">
        <f>$C52-AY53</f>
        <v>1.1266509598454033</v>
      </c>
      <c r="BB52">
        <v>0.70838500000000004</v>
      </c>
      <c r="BC52">
        <v>0</v>
      </c>
      <c r="BD52">
        <v>5.1166667940000004</v>
      </c>
      <c r="BE52" s="5">
        <f>BD52-AY52</f>
        <v>3.056104741977304</v>
      </c>
      <c r="BF52" s="5">
        <f>BD52-AY53</f>
        <v>2.7033177918454037</v>
      </c>
    </row>
    <row r="53" spans="1:58" x14ac:dyDescent="0.25">
      <c r="A53" t="s">
        <v>63</v>
      </c>
      <c r="B53">
        <v>0</v>
      </c>
      <c r="C53">
        <v>4.2300000190000002</v>
      </c>
      <c r="D53">
        <v>0.6</v>
      </c>
      <c r="E53">
        <v>0.26499998600000002</v>
      </c>
      <c r="F53">
        <v>3.6042198549801432</v>
      </c>
      <c r="G53">
        <v>3.0927682360655853</v>
      </c>
      <c r="H53">
        <v>3.133047652924414</v>
      </c>
      <c r="I53">
        <v>2.6325361126249933</v>
      </c>
      <c r="J53">
        <v>4.8929622523903165</v>
      </c>
      <c r="K53">
        <v>-0.68037466921561696</v>
      </c>
      <c r="L53">
        <v>52</v>
      </c>
      <c r="M53">
        <v>2704</v>
      </c>
      <c r="N53">
        <v>0</v>
      </c>
      <c r="O53" s="4">
        <v>3.4062512559648344</v>
      </c>
      <c r="P53" s="4">
        <v>2.9690288907194411</v>
      </c>
      <c r="Q53" s="4">
        <v>2.0622953828448654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7588836963302950</v>
      </c>
      <c r="X53" s="2">
        <v>6.3572090670000003</v>
      </c>
      <c r="Y53" s="2">
        <v>6.3661688080000003</v>
      </c>
      <c r="Z53" s="2">
        <v>8.0236179209999996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>
        <v>2.4634042252517601</v>
      </c>
      <c r="AV53" s="5">
        <v>23.287049639999999</v>
      </c>
      <c r="AW53" s="6">
        <v>29.37</v>
      </c>
      <c r="AX53" s="6">
        <f t="shared" si="0"/>
        <v>3.379973745210529</v>
      </c>
      <c r="AY53" s="5">
        <f t="shared" si="2"/>
        <v>2.4133490021545967</v>
      </c>
      <c r="AZ53" s="5">
        <f t="shared" si="1"/>
        <v>1.8166510168454035</v>
      </c>
      <c r="BA53" s="5">
        <f>$C53-AY54</f>
        <v>3.866982410419693</v>
      </c>
      <c r="BB53">
        <v>0.76988800000000002</v>
      </c>
      <c r="BC53">
        <v>0</v>
      </c>
      <c r="BD53">
        <v>5.2733335490000002</v>
      </c>
      <c r="BE53" s="5">
        <f>BD53-AY53</f>
        <v>2.8599845468454035</v>
      </c>
      <c r="BF53" s="5">
        <f>BD53-AY54</f>
        <v>4.910315940419693</v>
      </c>
    </row>
    <row r="54" spans="1:58" x14ac:dyDescent="0.25">
      <c r="A54" t="s">
        <v>64</v>
      </c>
      <c r="B54">
        <v>0</v>
      </c>
      <c r="C54">
        <v>3.8733332159999998</v>
      </c>
      <c r="D54">
        <v>1.9</v>
      </c>
      <c r="E54">
        <v>0.26499998600000002</v>
      </c>
      <c r="F54">
        <v>3.5843241697259307</v>
      </c>
      <c r="G54">
        <v>3.1149365210324675</v>
      </c>
      <c r="H54">
        <v>3.1391477796165845</v>
      </c>
      <c r="I54">
        <v>2.6668114530856126</v>
      </c>
      <c r="J54">
        <v>4.89201690963319</v>
      </c>
      <c r="K54">
        <v>-0.65783050863504533</v>
      </c>
      <c r="L54">
        <v>53</v>
      </c>
      <c r="M54">
        <v>2809</v>
      </c>
      <c r="N54">
        <v>0</v>
      </c>
      <c r="O54" s="4">
        <v>3.4087686471584737</v>
      </c>
      <c r="P54" s="4">
        <v>2.978026446435059</v>
      </c>
      <c r="Q54" s="4">
        <v>2.0938374219635683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759835822572233</v>
      </c>
      <c r="X54" s="2">
        <v>6.3338830719999999</v>
      </c>
      <c r="Y54" s="2">
        <v>6.4565245999999998</v>
      </c>
      <c r="Z54" s="2">
        <v>8.045652381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>
        <v>2.4706698591345302</v>
      </c>
      <c r="AV54" s="5">
        <v>23.38895793</v>
      </c>
      <c r="AW54" s="6">
        <v>29.396666666666668</v>
      </c>
      <c r="AX54" s="6">
        <f t="shared" si="0"/>
        <v>3.3808812892319797</v>
      </c>
      <c r="AY54" s="5">
        <f t="shared" si="2"/>
        <v>0.36301760858030718</v>
      </c>
      <c r="AZ54" s="5">
        <f t="shared" si="1"/>
        <v>3.5103156074196926</v>
      </c>
      <c r="BA54" s="5">
        <f>$C54-AY55</f>
        <v>1.4766271591911826</v>
      </c>
      <c r="BB54">
        <v>0.704843</v>
      </c>
      <c r="BC54">
        <v>0</v>
      </c>
      <c r="BD54">
        <v>5.3099999430000002</v>
      </c>
      <c r="BE54" s="5">
        <f>BD54-AY54</f>
        <v>4.946982334419693</v>
      </c>
      <c r="BF54" s="5">
        <f>BD54-AY55</f>
        <v>2.913293886191183</v>
      </c>
    </row>
    <row r="55" spans="1:58" x14ac:dyDescent="0.25">
      <c r="A55" t="s">
        <v>65</v>
      </c>
      <c r="B55">
        <v>0</v>
      </c>
      <c r="C55">
        <v>2.99333334</v>
      </c>
      <c r="D55">
        <v>0</v>
      </c>
      <c r="E55">
        <v>0.26499998600000002</v>
      </c>
      <c r="F55">
        <v>3.5924236182963067</v>
      </c>
      <c r="G55">
        <v>3.1102655901441518</v>
      </c>
      <c r="H55">
        <v>3.1501399777762207</v>
      </c>
      <c r="I55">
        <v>2.6465293444539597</v>
      </c>
      <c r="J55">
        <v>4.9021513872079705</v>
      </c>
      <c r="K55">
        <v>-0.6654289971274624</v>
      </c>
      <c r="L55">
        <v>54</v>
      </c>
      <c r="M55">
        <v>2916</v>
      </c>
      <c r="N55">
        <v>5.5028462998102465E-3</v>
      </c>
      <c r="O55" s="4">
        <v>3.4196265171305225</v>
      </c>
      <c r="P55" s="4">
        <v>2.9891103972451041</v>
      </c>
      <c r="Q55" s="4">
        <v>2.1163759894728984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761089338363074</v>
      </c>
      <c r="X55" s="2">
        <v>6.3444670250000001</v>
      </c>
      <c r="Y55" s="2">
        <v>6.44397544</v>
      </c>
      <c r="Z55" s="2">
        <v>8.0418634030000007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>
        <v>2.4725649826324401</v>
      </c>
      <c r="AV55" s="5">
        <v>23.462790389999999</v>
      </c>
      <c r="AW55" s="6">
        <v>29.573333333333334</v>
      </c>
      <c r="AX55" s="6">
        <f t="shared" si="0"/>
        <v>3.3868730543740018</v>
      </c>
      <c r="AY55" s="5">
        <f t="shared" si="2"/>
        <v>2.3967060568088172</v>
      </c>
      <c r="AZ55" s="5">
        <f t="shared" si="1"/>
        <v>0.59662728319118274</v>
      </c>
      <c r="BA55" s="5">
        <f>$C55-AY56</f>
        <v>2.7679685247533574</v>
      </c>
      <c r="BB55">
        <v>0.78236000000000006</v>
      </c>
      <c r="BC55">
        <v>0</v>
      </c>
      <c r="BD55">
        <v>5.2466669079999999</v>
      </c>
      <c r="BE55" s="5">
        <f>BD55-AY55</f>
        <v>2.8499608511911827</v>
      </c>
      <c r="BF55" s="5">
        <f>BD55-AY56</f>
        <v>5.0213020927533574</v>
      </c>
    </row>
    <row r="56" spans="1:58" x14ac:dyDescent="0.25">
      <c r="A56" t="s">
        <v>66</v>
      </c>
      <c r="B56">
        <v>0</v>
      </c>
      <c r="C56">
        <v>2.3599998950000001</v>
      </c>
      <c r="D56">
        <v>0</v>
      </c>
      <c r="E56">
        <v>0.26499998600000002</v>
      </c>
      <c r="F56">
        <v>3.6162281128658149</v>
      </c>
      <c r="G56">
        <v>3.1119140278434005</v>
      </c>
      <c r="H56">
        <v>3.1469443805736992</v>
      </c>
      <c r="I56">
        <v>2.6193646962695225</v>
      </c>
      <c r="J56">
        <v>4.9035622017045668</v>
      </c>
      <c r="K56">
        <v>-0.66846538729938854</v>
      </c>
      <c r="L56">
        <v>55</v>
      </c>
      <c r="M56">
        <v>3025</v>
      </c>
      <c r="N56">
        <v>0</v>
      </c>
      <c r="O56" s="4">
        <v>3.413751580233507</v>
      </c>
      <c r="P56" s="4">
        <v>2.9879520862350288</v>
      </c>
      <c r="Q56" s="4">
        <v>2.1083933636296037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7606888507354860</v>
      </c>
      <c r="X56" s="2">
        <v>6.3774123429999996</v>
      </c>
      <c r="Y56" s="2">
        <v>6.433060834</v>
      </c>
      <c r="Z56" s="2">
        <v>8.0443374989999992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>
        <v>2.4867257882638598</v>
      </c>
      <c r="AV56" s="5">
        <v>23.548789169999999</v>
      </c>
      <c r="AW56" s="6">
        <v>29.59</v>
      </c>
      <c r="AX56" s="6">
        <f t="shared" si="0"/>
        <v>3.3874364664121184</v>
      </c>
      <c r="AY56" s="5">
        <f t="shared" si="2"/>
        <v>0.22536481524664254</v>
      </c>
      <c r="AZ56" s="5">
        <f t="shared" si="1"/>
        <v>2.1346350797533575</v>
      </c>
      <c r="BA56" s="5">
        <f>$C56-AY57</f>
        <v>-0.20022444249780724</v>
      </c>
      <c r="BB56">
        <v>0.89437299999999997</v>
      </c>
      <c r="BC56">
        <v>0</v>
      </c>
      <c r="BD56">
        <v>5.1033334730000002</v>
      </c>
      <c r="BE56" s="5">
        <f>BD56-AY56</f>
        <v>4.8779686577533576</v>
      </c>
      <c r="BF56" s="5">
        <f>BD56-AY57</f>
        <v>2.5431091355021929</v>
      </c>
    </row>
    <row r="57" spans="1:58" x14ac:dyDescent="0.25">
      <c r="A57" t="s">
        <v>67</v>
      </c>
      <c r="B57">
        <v>0</v>
      </c>
      <c r="C57">
        <v>2.306666613</v>
      </c>
      <c r="D57">
        <v>0</v>
      </c>
      <c r="E57">
        <v>0.26499998600000002</v>
      </c>
      <c r="F57">
        <v>3.6231669107485551</v>
      </c>
      <c r="G57">
        <v>3.0989655281956434</v>
      </c>
      <c r="H57">
        <v>3.1523220593423589</v>
      </c>
      <c r="I57">
        <v>2.6152036507358583</v>
      </c>
      <c r="J57">
        <v>4.8944834273602087</v>
      </c>
      <c r="K57">
        <v>-0.66083595139508056</v>
      </c>
      <c r="L57">
        <v>56</v>
      </c>
      <c r="M57">
        <v>3136</v>
      </c>
      <c r="N57">
        <v>0</v>
      </c>
      <c r="O57" s="4">
        <v>3.414442608412176</v>
      </c>
      <c r="P57" s="4">
        <v>2.9975805644116087</v>
      </c>
      <c r="Q57" s="4">
        <v>2.0829354309340919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7608182892754760</v>
      </c>
      <c r="X57" s="2">
        <v>6.3906896230000001</v>
      </c>
      <c r="Y57" s="2">
        <v>6.4123988279999997</v>
      </c>
      <c r="Z57" s="2">
        <v>8.0321652599999993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>
        <v>2.4936886260943001</v>
      </c>
      <c r="AV57" s="5">
        <v>23.616685459999999</v>
      </c>
      <c r="AW57" s="6">
        <v>29.78</v>
      </c>
      <c r="AX57" s="6">
        <f t="shared" si="0"/>
        <v>3.3938370272558629</v>
      </c>
      <c r="AY57" s="5">
        <f t="shared" si="2"/>
        <v>2.5602243374978073</v>
      </c>
      <c r="AZ57" s="5">
        <f t="shared" si="1"/>
        <v>-0.25355772449780734</v>
      </c>
      <c r="BA57" s="5">
        <f>$C57-AY58</f>
        <v>1.5015673811210304</v>
      </c>
      <c r="BB57">
        <v>0.91531099999999999</v>
      </c>
      <c r="BC57">
        <v>0</v>
      </c>
      <c r="BD57">
        <v>5.0966668129999997</v>
      </c>
      <c r="BE57" s="5">
        <f>BD57-AY57</f>
        <v>2.5364424755021924</v>
      </c>
      <c r="BF57" s="5">
        <f>BD57-AY58</f>
        <v>4.2915675811210301</v>
      </c>
    </row>
    <row r="58" spans="1:58" x14ac:dyDescent="0.25">
      <c r="A58" t="s">
        <v>68</v>
      </c>
      <c r="B58">
        <v>0</v>
      </c>
      <c r="C58">
        <v>2.3500001429999999</v>
      </c>
      <c r="D58">
        <v>0</v>
      </c>
      <c r="E58">
        <v>0.27000001099999998</v>
      </c>
      <c r="F58">
        <v>3.6361640964419419</v>
      </c>
      <c r="G58">
        <v>3.1049005305546449</v>
      </c>
      <c r="H58">
        <v>3.1605253090864105</v>
      </c>
      <c r="I58">
        <v>2.6026156086266901</v>
      </c>
      <c r="J58">
        <v>4.8922495768638106</v>
      </c>
      <c r="K58">
        <v>-0.65329781974296441</v>
      </c>
      <c r="L58">
        <v>57</v>
      </c>
      <c r="M58">
        <v>3249</v>
      </c>
      <c r="N58">
        <v>1.4703074279167462E-2</v>
      </c>
      <c r="O58" s="4">
        <v>3.4203789010780845</v>
      </c>
      <c r="P58" s="4">
        <v>3.0075126120895224</v>
      </c>
      <c r="Q58" s="4">
        <v>2.0264362563559377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7607811040247330</v>
      </c>
      <c r="X58" s="2">
        <v>6.4036249510000003</v>
      </c>
      <c r="Y58" s="2">
        <v>6.4008014199999996</v>
      </c>
      <c r="Z58" s="2">
        <v>8.0389315589999999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>
        <v>2.4798367172737499</v>
      </c>
      <c r="AV58" s="5">
        <v>23.669700089999999</v>
      </c>
      <c r="AW58" s="6">
        <v>29.84</v>
      </c>
      <c r="AX58" s="6">
        <f t="shared" si="0"/>
        <v>3.3958497753355603</v>
      </c>
      <c r="AY58" s="5">
        <f t="shared" si="2"/>
        <v>0.80509923187896959</v>
      </c>
      <c r="AZ58" s="5">
        <f t="shared" si="1"/>
        <v>1.5449009111210303</v>
      </c>
      <c r="BA58" s="5">
        <f>$C58-AY59</f>
        <v>2.484070866561308</v>
      </c>
      <c r="BB58">
        <v>0.94722600000000001</v>
      </c>
      <c r="BC58">
        <v>0</v>
      </c>
      <c r="BD58">
        <v>5.0633335109999997</v>
      </c>
      <c r="BE58" s="5">
        <f>BD58-AY58</f>
        <v>4.2582342791210301</v>
      </c>
      <c r="BF58" s="5">
        <f>BD58-AY59</f>
        <v>5.1974042345613078</v>
      </c>
    </row>
    <row r="59" spans="1:58" x14ac:dyDescent="0.25">
      <c r="A59" t="s">
        <v>69</v>
      </c>
      <c r="B59">
        <v>0</v>
      </c>
      <c r="C59">
        <v>2.3033332820000001</v>
      </c>
      <c r="D59">
        <v>0</v>
      </c>
      <c r="E59">
        <v>0.27000001099999998</v>
      </c>
      <c r="F59">
        <v>3.6385593702139207</v>
      </c>
      <c r="G59">
        <v>3.1234216346948807</v>
      </c>
      <c r="H59">
        <v>3.1742143146655066</v>
      </c>
      <c r="I59">
        <v>2.6172498367757133</v>
      </c>
      <c r="J59">
        <v>4.8819530775708717</v>
      </c>
      <c r="K59">
        <v>-0.63209628236931958</v>
      </c>
      <c r="L59">
        <v>58</v>
      </c>
      <c r="M59">
        <v>3364</v>
      </c>
      <c r="N59">
        <v>5.8901515151515156E-2</v>
      </c>
      <c r="O59" s="4">
        <v>3.4336645717996568</v>
      </c>
      <c r="P59" s="4">
        <v>3.0220333479733616</v>
      </c>
      <c r="Q59" s="4">
        <v>2.0470474738688318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7622583223994780</v>
      </c>
      <c r="X59" s="2">
        <v>6.4078008579999999</v>
      </c>
      <c r="Y59" s="2">
        <v>6.417094605</v>
      </c>
      <c r="Z59" s="2">
        <v>8.0573458119999994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>
        <v>2.4784459976331599</v>
      </c>
      <c r="AV59" s="5">
        <v>23.719415600000001</v>
      </c>
      <c r="AW59" s="6">
        <v>29.83</v>
      </c>
      <c r="AX59" s="6">
        <f t="shared" si="0"/>
        <v>3.395514598526657</v>
      </c>
      <c r="AY59" s="5">
        <f t="shared" si="2"/>
        <v>-0.13407072356130811</v>
      </c>
      <c r="AZ59" s="5">
        <f t="shared" si="1"/>
        <v>2.4374040055613082</v>
      </c>
      <c r="BA59" s="5">
        <f>$C59-AY60</f>
        <v>0.74196398783154249</v>
      </c>
      <c r="BB59">
        <v>0.96131599999999995</v>
      </c>
      <c r="BC59">
        <v>0</v>
      </c>
      <c r="BD59">
        <v>5.0166668889999997</v>
      </c>
      <c r="BE59" s="5">
        <f>BD59-AY59</f>
        <v>5.1507376125613078</v>
      </c>
      <c r="BF59" s="5">
        <f>BD59-AY60</f>
        <v>3.4552975948315421</v>
      </c>
    </row>
    <row r="60" spans="1:58" x14ac:dyDescent="0.25">
      <c r="A60" t="s">
        <v>70</v>
      </c>
      <c r="B60">
        <v>0</v>
      </c>
      <c r="C60">
        <v>2.3033332820000001</v>
      </c>
      <c r="D60">
        <v>0</v>
      </c>
      <c r="E60">
        <v>0.27000001099999998</v>
      </c>
      <c r="F60">
        <v>3.657982006286058</v>
      </c>
      <c r="G60">
        <v>3.1394862371986871</v>
      </c>
      <c r="H60">
        <v>3.1764275236277761</v>
      </c>
      <c r="I60">
        <v>2.6409840437375345</v>
      </c>
      <c r="J60">
        <v>4.889205617519675</v>
      </c>
      <c r="K60">
        <v>-0.62774212612009672</v>
      </c>
      <c r="L60">
        <v>59</v>
      </c>
      <c r="M60">
        <v>3481</v>
      </c>
      <c r="N60">
        <v>6.4935064935064939E-3</v>
      </c>
      <c r="O60" s="4">
        <v>3.4344387154419573</v>
      </c>
      <c r="P60" s="4">
        <v>3.0250483278880438</v>
      </c>
      <c r="Q60" s="4">
        <v>2.0711573220921382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7627434355223550</v>
      </c>
      <c r="X60" s="2">
        <v>6.4282169580000001</v>
      </c>
      <c r="Y60" s="2">
        <v>6.438203423</v>
      </c>
      <c r="Z60" s="2">
        <v>8.0739015980000008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>
        <v>2.4920480891326702</v>
      </c>
      <c r="AV60" s="5">
        <v>23.796119869999998</v>
      </c>
      <c r="AW60" s="6">
        <v>29.946666666666665</v>
      </c>
      <c r="AX60" s="6">
        <f t="shared" si="0"/>
        <v>3.3994180217620782</v>
      </c>
      <c r="AY60" s="5">
        <f t="shared" si="2"/>
        <v>1.5613692941684576</v>
      </c>
      <c r="AZ60" s="5">
        <f t="shared" si="1"/>
        <v>0.74196398783154249</v>
      </c>
      <c r="BA60" s="5">
        <f>$C60-AY61</f>
        <v>1.7249448824642104</v>
      </c>
      <c r="BB60">
        <v>0.84445899999999996</v>
      </c>
      <c r="BC60">
        <v>0</v>
      </c>
      <c r="BD60">
        <v>5.1066665650000003</v>
      </c>
      <c r="BE60" s="5">
        <f>BD60-AY60</f>
        <v>3.5452972708315427</v>
      </c>
      <c r="BF60" s="5">
        <f>BD60-AY61</f>
        <v>4.5282781654642106</v>
      </c>
    </row>
    <row r="61" spans="1:58" x14ac:dyDescent="0.25">
      <c r="A61" t="s">
        <v>71</v>
      </c>
      <c r="B61">
        <v>0</v>
      </c>
      <c r="C61">
        <v>2.460000038</v>
      </c>
      <c r="D61">
        <v>0</v>
      </c>
      <c r="E61">
        <v>0.27000001099999998</v>
      </c>
      <c r="F61">
        <v>3.679712566289119</v>
      </c>
      <c r="G61">
        <v>3.1596352448239275</v>
      </c>
      <c r="H61">
        <v>3.1922178610196532</v>
      </c>
      <c r="I61">
        <v>2.6741486494265287</v>
      </c>
      <c r="J61">
        <v>4.9014675400954753</v>
      </c>
      <c r="K61">
        <v>-0.61929013238280317</v>
      </c>
      <c r="L61">
        <v>60</v>
      </c>
      <c r="M61">
        <v>3600</v>
      </c>
      <c r="N61">
        <v>-1.8198362147406734E-3</v>
      </c>
      <c r="O61" s="4">
        <v>3.4479219218350243</v>
      </c>
      <c r="P61" s="4">
        <v>3.0425204350527499</v>
      </c>
      <c r="Q61" s="4">
        <v>2.1184218413207199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764734892701783</v>
      </c>
      <c r="X61" s="2">
        <v>6.454611313</v>
      </c>
      <c r="Y61" s="2">
        <v>6.4791094759999996</v>
      </c>
      <c r="Z61" s="2">
        <v>8.0939510030000008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>
        <v>2.4938389977813702</v>
      </c>
      <c r="AV61" s="5">
        <v>23.877429759999998</v>
      </c>
      <c r="AW61" s="6">
        <v>29.99</v>
      </c>
      <c r="AX61" s="6">
        <f t="shared" si="0"/>
        <v>3.4008639927609177</v>
      </c>
      <c r="AY61" s="5">
        <f t="shared" si="2"/>
        <v>0.57838839953578969</v>
      </c>
      <c r="AZ61" s="5">
        <f t="shared" si="1"/>
        <v>1.8816116384642103</v>
      </c>
      <c r="BA61" s="5">
        <f>$C61-AY62</f>
        <v>0.90694467304826132</v>
      </c>
      <c r="BB61">
        <v>0.70614699999999997</v>
      </c>
      <c r="BC61">
        <v>0</v>
      </c>
      <c r="BD61">
        <v>5.1133332249999999</v>
      </c>
      <c r="BE61" s="5">
        <f>BD61-AY61</f>
        <v>4.5349448254642102</v>
      </c>
      <c r="BF61" s="5">
        <f>BD61-AY62</f>
        <v>3.5602778600482612</v>
      </c>
    </row>
    <row r="62" spans="1:58" x14ac:dyDescent="0.25">
      <c r="A62" t="s">
        <v>72</v>
      </c>
      <c r="B62">
        <v>0</v>
      </c>
      <c r="C62">
        <v>2.7233333590000002</v>
      </c>
      <c r="D62">
        <v>0</v>
      </c>
      <c r="E62">
        <v>0.27500000600000002</v>
      </c>
      <c r="F62">
        <v>3.697244370445564</v>
      </c>
      <c r="G62">
        <v>3.177386941360242</v>
      </c>
      <c r="H62">
        <v>3.2009029785413081</v>
      </c>
      <c r="I62">
        <v>2.6953026282797072</v>
      </c>
      <c r="J62">
        <v>4.9139481667346052</v>
      </c>
      <c r="K62">
        <v>-0.61427031388118059</v>
      </c>
      <c r="L62">
        <v>61</v>
      </c>
      <c r="M62">
        <v>3721</v>
      </c>
      <c r="N62">
        <v>3.5549235691432631E-3</v>
      </c>
      <c r="O62" s="4">
        <v>3.456190489956195</v>
      </c>
      <c r="P62" s="4">
        <v>3.0519235532037334</v>
      </c>
      <c r="Q62" s="4">
        <v>2.1398308416926199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765788610811147</v>
      </c>
      <c r="X62" s="2">
        <v>6.4773945020000001</v>
      </c>
      <c r="Y62" s="2">
        <v>6.4893809469999999</v>
      </c>
      <c r="Z62" s="2">
        <v>8.1118080799999994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>
        <v>2.4961456904157799</v>
      </c>
      <c r="AV62" s="5">
        <v>24.020180119999999</v>
      </c>
      <c r="AW62" s="6">
        <v>30.106666666666666</v>
      </c>
      <c r="AX62" s="6">
        <f t="shared" si="0"/>
        <v>3.404746631173297</v>
      </c>
      <c r="AY62" s="5">
        <f t="shared" si="2"/>
        <v>1.5530553649517387</v>
      </c>
      <c r="AZ62" s="5">
        <f t="shared" si="1"/>
        <v>1.1702779940482615</v>
      </c>
      <c r="BA62" s="5">
        <f>$C62-AY63</f>
        <v>1.220403090481446</v>
      </c>
      <c r="BB62">
        <v>0.76470899999999997</v>
      </c>
      <c r="BC62">
        <v>0</v>
      </c>
      <c r="BD62">
        <v>5.0633335109999997</v>
      </c>
      <c r="BE62" s="5">
        <f>BD62-AY62</f>
        <v>3.510278146048261</v>
      </c>
      <c r="BF62" s="5">
        <f>BD62-AY63</f>
        <v>3.5604032424814456</v>
      </c>
    </row>
    <row r="63" spans="1:58" x14ac:dyDescent="0.25">
      <c r="A63" t="s">
        <v>73</v>
      </c>
      <c r="B63">
        <v>0</v>
      </c>
      <c r="C63">
        <v>2.716666698</v>
      </c>
      <c r="D63">
        <v>0</v>
      </c>
      <c r="E63">
        <v>0.27500000600000002</v>
      </c>
      <c r="F63">
        <v>3.7026590775223078</v>
      </c>
      <c r="G63">
        <v>3.1883753794198171</v>
      </c>
      <c r="H63">
        <v>3.2105981766730785</v>
      </c>
      <c r="I63">
        <v>2.7251694929095986</v>
      </c>
      <c r="J63">
        <v>4.9202363676526391</v>
      </c>
      <c r="K63">
        <v>-0.60308391920765103</v>
      </c>
      <c r="L63">
        <v>62</v>
      </c>
      <c r="M63">
        <v>3844</v>
      </c>
      <c r="N63">
        <v>0</v>
      </c>
      <c r="O63" s="4">
        <v>3.4601892987923688</v>
      </c>
      <c r="P63" s="4">
        <v>3.0667497607892713</v>
      </c>
      <c r="Q63" s="4">
        <v>2.1663070747014181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7670104775760620</v>
      </c>
      <c r="X63" s="2">
        <v>6.4843479159999999</v>
      </c>
      <c r="Y63" s="2">
        <v>6.507143331</v>
      </c>
      <c r="Z63" s="2">
        <v>8.1225196440000005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>
        <v>2.49865168724076</v>
      </c>
      <c r="AV63" s="5">
        <v>24.050476310000001</v>
      </c>
      <c r="AW63" s="6">
        <v>30.22</v>
      </c>
      <c r="AX63" s="6">
        <f t="shared" si="0"/>
        <v>3.4085039568445934</v>
      </c>
      <c r="AY63" s="5">
        <f t="shared" si="2"/>
        <v>1.5029302685185542</v>
      </c>
      <c r="AZ63" s="5">
        <f t="shared" si="1"/>
        <v>1.2137364294814459</v>
      </c>
      <c r="BA63" s="5">
        <f>$C63-AY64</f>
        <v>1.5711653093442548</v>
      </c>
      <c r="BB63">
        <v>0.810226</v>
      </c>
      <c r="BC63">
        <v>0</v>
      </c>
      <c r="BD63">
        <v>5.0133333210000002</v>
      </c>
      <c r="BE63" s="5">
        <f>BD63-AY63</f>
        <v>3.510403052481446</v>
      </c>
      <c r="BF63" s="5">
        <f>BD63-AY64</f>
        <v>3.8678319323442549</v>
      </c>
    </row>
    <row r="64" spans="1:58" x14ac:dyDescent="0.25">
      <c r="A64" t="s">
        <v>74</v>
      </c>
      <c r="B64">
        <v>0</v>
      </c>
      <c r="C64">
        <v>2.8399999139999998</v>
      </c>
      <c r="D64">
        <v>-1.35</v>
      </c>
      <c r="E64">
        <v>0.27500000600000002</v>
      </c>
      <c r="F64">
        <v>3.7251631661911828</v>
      </c>
      <c r="G64">
        <v>3.1975704690408646</v>
      </c>
      <c r="H64">
        <v>3.2192782982649164</v>
      </c>
      <c r="I64">
        <v>2.7331979946348621</v>
      </c>
      <c r="J64">
        <v>4.9177741130449686</v>
      </c>
      <c r="K64">
        <v>-0.59670486973660086</v>
      </c>
      <c r="L64">
        <v>63</v>
      </c>
      <c r="M64">
        <v>3969</v>
      </c>
      <c r="N64">
        <v>0</v>
      </c>
      <c r="O64" s="4">
        <v>3.4679210137050633</v>
      </c>
      <c r="P64" s="4">
        <v>3.0753287278251338</v>
      </c>
      <c r="Q64" s="4">
        <v>2.1736147116970854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7678131983152080</v>
      </c>
      <c r="X64" s="2">
        <v>6.508409801</v>
      </c>
      <c r="Y64" s="2">
        <v>6.5289951300000002</v>
      </c>
      <c r="Z64" s="2">
        <v>8.1320011880000003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>
        <v>2.50577830242226</v>
      </c>
      <c r="AV64" s="5">
        <v>24.108200870000001</v>
      </c>
      <c r="AW64" s="6">
        <v>30.306666666666668</v>
      </c>
      <c r="AX64" s="6">
        <f t="shared" si="0"/>
        <v>3.4113677103162328</v>
      </c>
      <c r="AY64" s="5">
        <f t="shared" si="2"/>
        <v>1.1455013886557452</v>
      </c>
      <c r="AZ64" s="5">
        <f t="shared" si="1"/>
        <v>1.6944985253442546</v>
      </c>
      <c r="BA64" s="5">
        <f>$C64-AY65</f>
        <v>1.8732851734423939</v>
      </c>
      <c r="BB64">
        <v>0.884741</v>
      </c>
      <c r="BC64">
        <v>0</v>
      </c>
      <c r="BD64">
        <v>5.046666622</v>
      </c>
      <c r="BE64" s="5">
        <f>BD64-AY64</f>
        <v>3.9011652333442548</v>
      </c>
      <c r="BF64" s="5">
        <f>BD64-AY65</f>
        <v>4.0799518814423941</v>
      </c>
    </row>
    <row r="65" spans="1:58" x14ac:dyDescent="0.25">
      <c r="A65" t="s">
        <v>75</v>
      </c>
      <c r="B65">
        <v>0</v>
      </c>
      <c r="C65">
        <v>2.813333273</v>
      </c>
      <c r="D65">
        <v>-0.9</v>
      </c>
      <c r="E65">
        <v>0.27500000600000002</v>
      </c>
      <c r="F65">
        <v>3.7266086709239432</v>
      </c>
      <c r="G65">
        <v>3.2000191500178956</v>
      </c>
      <c r="H65">
        <v>3.2287274039148768</v>
      </c>
      <c r="I65">
        <v>2.72831024010957</v>
      </c>
      <c r="J65">
        <v>4.9122577480637952</v>
      </c>
      <c r="K65">
        <v>-0.58535061010423795</v>
      </c>
      <c r="L65">
        <v>64</v>
      </c>
      <c r="M65">
        <v>4096</v>
      </c>
      <c r="N65">
        <v>0</v>
      </c>
      <c r="O65" s="4">
        <v>3.4735180432417816</v>
      </c>
      <c r="P65" s="4">
        <v>3.0879011610253682</v>
      </c>
      <c r="Q65" s="4">
        <v>2.2167003538368761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7692181799141600</v>
      </c>
      <c r="X65" s="2">
        <v>6.5147436320000001</v>
      </c>
      <c r="Y65" s="2">
        <v>6.5359689190000001</v>
      </c>
      <c r="Z65" s="2">
        <v>8.1358742050000004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>
        <v>2.5181014512704398</v>
      </c>
      <c r="AV65" s="5">
        <v>24.183752500000001</v>
      </c>
      <c r="AW65" s="6">
        <v>30.38</v>
      </c>
      <c r="AX65" s="6">
        <f t="shared" si="0"/>
        <v>3.4137844971676268</v>
      </c>
      <c r="AY65" s="5">
        <f t="shared" si="2"/>
        <v>0.96671474055760598</v>
      </c>
      <c r="AZ65" s="5">
        <f t="shared" si="1"/>
        <v>1.846618532442394</v>
      </c>
      <c r="BA65" s="5">
        <f>$C65-AY66</f>
        <v>1.5425867367605357</v>
      </c>
      <c r="BB65">
        <v>0.85083799999999998</v>
      </c>
      <c r="BC65">
        <v>0</v>
      </c>
      <c r="BD65">
        <v>4.95666647</v>
      </c>
      <c r="BE65" s="5">
        <f>BD65-AY65</f>
        <v>3.9899517294423941</v>
      </c>
      <c r="BF65" s="5">
        <f>BD65-AY66</f>
        <v>3.6859199337605357</v>
      </c>
    </row>
    <row r="66" spans="1:58" x14ac:dyDescent="0.25">
      <c r="A66" t="s">
        <v>76</v>
      </c>
      <c r="B66">
        <v>0</v>
      </c>
      <c r="C66">
        <v>2.9066667559999999</v>
      </c>
      <c r="D66">
        <v>2.6</v>
      </c>
      <c r="E66">
        <v>0.280000001</v>
      </c>
      <c r="F66">
        <v>3.720499237869392</v>
      </c>
      <c r="G66">
        <v>3.2130187053838029</v>
      </c>
      <c r="H66">
        <v>3.2332847861900822</v>
      </c>
      <c r="I66">
        <v>2.7399363899645319</v>
      </c>
      <c r="J66">
        <v>4.9170569471366896</v>
      </c>
      <c r="K66">
        <v>-0.58050018415705507</v>
      </c>
      <c r="L66">
        <v>65</v>
      </c>
      <c r="M66">
        <v>4225</v>
      </c>
      <c r="N66">
        <v>0</v>
      </c>
      <c r="O66" s="4">
        <v>3.4789914091021754</v>
      </c>
      <c r="P66" s="4">
        <v>3.0918148822310356</v>
      </c>
      <c r="Q66" s="4">
        <v>2.2364452904895007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7699162375503060</v>
      </c>
      <c r="X66" s="2">
        <v>6.5095279709999998</v>
      </c>
      <c r="Y66" s="2">
        <v>6.5507792709999997</v>
      </c>
      <c r="Z66" s="2">
        <v>8.1469407749999991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>
        <v>2.5120401094456799</v>
      </c>
      <c r="AV66" s="5">
        <v>24.241570769999999</v>
      </c>
      <c r="AW66" s="6">
        <v>30.476666666666667</v>
      </c>
      <c r="AX66" s="6">
        <f t="shared" ref="AX66:AX129" si="3">LN(AW66)</f>
        <v>3.4169613635082254</v>
      </c>
      <c r="AY66" s="5">
        <f t="shared" si="2"/>
        <v>1.2707465362394643</v>
      </c>
      <c r="AZ66" s="5">
        <f t="shared" si="1"/>
        <v>1.6359202197605356</v>
      </c>
      <c r="BA66" s="5">
        <f>$C66-AY67</f>
        <v>2.1636189545002367</v>
      </c>
      <c r="BB66">
        <v>0.73917699999999997</v>
      </c>
      <c r="BC66">
        <v>0</v>
      </c>
      <c r="BD66">
        <v>4.8933334349999997</v>
      </c>
      <c r="BE66" s="5">
        <f>BD66-AY66</f>
        <v>3.6225868987605354</v>
      </c>
      <c r="BF66" s="5">
        <f>BD66-AY67</f>
        <v>4.1502856335002365</v>
      </c>
    </row>
    <row r="67" spans="1:58" x14ac:dyDescent="0.25">
      <c r="A67" t="s">
        <v>77</v>
      </c>
      <c r="B67">
        <v>0</v>
      </c>
      <c r="C67">
        <v>2.9400000569999998</v>
      </c>
      <c r="D67">
        <v>0</v>
      </c>
      <c r="E67">
        <v>0.280000001</v>
      </c>
      <c r="F67">
        <v>3.7192389066232825</v>
      </c>
      <c r="G67">
        <v>3.2254541402283232</v>
      </c>
      <c r="H67">
        <v>3.2407573912408627</v>
      </c>
      <c r="I67">
        <v>2.785258125340444</v>
      </c>
      <c r="J67">
        <v>4.9229764348079232</v>
      </c>
      <c r="K67">
        <v>-0.57680253318997277</v>
      </c>
      <c r="L67">
        <v>66</v>
      </c>
      <c r="M67">
        <v>4356</v>
      </c>
      <c r="N67">
        <v>0</v>
      </c>
      <c r="O67" s="4">
        <v>3.4823779033182478</v>
      </c>
      <c r="P67" s="4">
        <v>3.1027014945512335</v>
      </c>
      <c r="Q67" s="4">
        <v>2.2576923241033091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7708554347999000</v>
      </c>
      <c r="X67" s="2">
        <v>6.507865829</v>
      </c>
      <c r="Y67" s="2">
        <v>6.5818558280000001</v>
      </c>
      <c r="Z67" s="2">
        <v>8.1598894780000002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>
        <v>2.5171401672180602</v>
      </c>
      <c r="AV67" s="5">
        <v>24.287701169999998</v>
      </c>
      <c r="AW67" s="6">
        <v>30.533333333333335</v>
      </c>
      <c r="AX67" s="6">
        <f t="shared" si="3"/>
        <v>3.4188189830119748</v>
      </c>
      <c r="AY67" s="5">
        <f t="shared" si="2"/>
        <v>0.74304780149976324</v>
      </c>
      <c r="AZ67" s="5">
        <f t="shared" ref="AZ67:AZ130" si="4">$C67-AY67</f>
        <v>2.1969522555002365</v>
      </c>
      <c r="BA67" s="5">
        <f>$C67-AY68</f>
        <v>0.5020299500014227</v>
      </c>
      <c r="BB67">
        <v>0.69549000000000005</v>
      </c>
      <c r="BC67">
        <v>0</v>
      </c>
      <c r="BD67">
        <v>4.8533334730000002</v>
      </c>
      <c r="BE67" s="5">
        <f>BD67-AY67</f>
        <v>4.1102856715002369</v>
      </c>
      <c r="BF67" s="5">
        <f>BD67-AY68</f>
        <v>2.4153633660014231</v>
      </c>
    </row>
    <row r="68" spans="1:58" x14ac:dyDescent="0.25">
      <c r="A68" t="s">
        <v>78</v>
      </c>
      <c r="B68">
        <v>0</v>
      </c>
      <c r="C68">
        <v>3.2933332919999998</v>
      </c>
      <c r="D68">
        <v>0</v>
      </c>
      <c r="E68">
        <v>0.280000001</v>
      </c>
      <c r="F68">
        <v>3.7612233712371035</v>
      </c>
      <c r="G68">
        <v>3.2441146297318264</v>
      </c>
      <c r="H68">
        <v>3.2545833138703082</v>
      </c>
      <c r="I68">
        <v>2.8108474343568717</v>
      </c>
      <c r="J68">
        <v>4.9255202996542353</v>
      </c>
      <c r="K68">
        <v>-0.56409217660945044</v>
      </c>
      <c r="L68">
        <v>67</v>
      </c>
      <c r="M68">
        <v>4489</v>
      </c>
      <c r="N68">
        <v>-1.1616492146596857E-2</v>
      </c>
      <c r="O68" s="4">
        <v>3.4914950196429362</v>
      </c>
      <c r="P68" s="4">
        <v>3.1200715478095984</v>
      </c>
      <c r="Q68" s="4">
        <v>2.2699585901669517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7722029232007840</v>
      </c>
      <c r="X68" s="2">
        <v>6.5510645370000002</v>
      </c>
      <c r="Y68" s="2">
        <v>6.5973691050000003</v>
      </c>
      <c r="Z68" s="2">
        <v>8.1792278409999994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>
        <v>2.51423762051787</v>
      </c>
      <c r="AV68" s="5">
        <v>24.334022390000001</v>
      </c>
      <c r="AW68" s="6">
        <v>30.72</v>
      </c>
      <c r="AX68" s="6">
        <f t="shared" si="3"/>
        <v>3.4249139082794713</v>
      </c>
      <c r="AY68" s="5">
        <f t="shared" ref="AY68:AY131" si="5">400*(AX68-AX67)</f>
        <v>2.4379701069985771</v>
      </c>
      <c r="AZ68" s="5">
        <f t="shared" si="4"/>
        <v>0.85536318500142272</v>
      </c>
      <c r="BA68" s="5">
        <f>$C68-AY69</f>
        <v>2.2097329110526971</v>
      </c>
      <c r="BB68">
        <v>0.565276</v>
      </c>
      <c r="BC68">
        <v>0</v>
      </c>
      <c r="BD68">
        <v>4.8366665839999996</v>
      </c>
      <c r="BE68" s="5">
        <f>BD68-AY68</f>
        <v>2.3986964770014225</v>
      </c>
      <c r="BF68" s="5">
        <f>BD68-AY69</f>
        <v>3.7530662030526969</v>
      </c>
    </row>
    <row r="69" spans="1:58" x14ac:dyDescent="0.25">
      <c r="A69" t="s">
        <v>79</v>
      </c>
      <c r="B69">
        <v>0</v>
      </c>
      <c r="C69">
        <v>3.4966666700000002</v>
      </c>
      <c r="D69">
        <v>0</v>
      </c>
      <c r="E69">
        <v>0.280000001</v>
      </c>
      <c r="F69">
        <v>3.7520889675118205</v>
      </c>
      <c r="G69">
        <v>3.2516914538098236</v>
      </c>
      <c r="H69">
        <v>3.2615688970144512</v>
      </c>
      <c r="I69">
        <v>2.8422896763104131</v>
      </c>
      <c r="J69">
        <v>4.9304225719710812</v>
      </c>
      <c r="K69">
        <v>-0.55989450350798686</v>
      </c>
      <c r="L69">
        <v>68</v>
      </c>
      <c r="M69">
        <v>4624</v>
      </c>
      <c r="N69">
        <v>0</v>
      </c>
      <c r="O69" s="4">
        <v>3.490215077979808</v>
      </c>
      <c r="P69" s="4">
        <v>3.1336229008934344</v>
      </c>
      <c r="Q69" s="4">
        <v>2.2856423722637338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773032724408225</v>
      </c>
      <c r="X69" s="2">
        <v>6.5492687900000002</v>
      </c>
      <c r="Y69" s="2">
        <v>6.6035012460000004</v>
      </c>
      <c r="Z69" s="2">
        <v>8.1863252220000007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>
        <v>2.5115205039158699</v>
      </c>
      <c r="AV69" s="5">
        <v>24.521947820000001</v>
      </c>
      <c r="AW69" s="6">
        <v>30.803333333333335</v>
      </c>
      <c r="AX69" s="6">
        <f t="shared" si="3"/>
        <v>3.4276229092318395</v>
      </c>
      <c r="AY69" s="5">
        <f t="shared" si="5"/>
        <v>1.0836003809473027</v>
      </c>
      <c r="AZ69" s="5">
        <f t="shared" si="4"/>
        <v>2.4130662890526975</v>
      </c>
      <c r="BA69" s="5">
        <f>$C69-AY70</f>
        <v>1.8551956839444625</v>
      </c>
      <c r="BB69">
        <v>0.56067999999999996</v>
      </c>
      <c r="BC69">
        <v>0</v>
      </c>
      <c r="BD69">
        <v>4.8400001530000001</v>
      </c>
      <c r="BE69" s="5">
        <f>BD69-AY69</f>
        <v>3.7563997720526974</v>
      </c>
      <c r="BF69" s="5">
        <f>BD69-AY70</f>
        <v>3.1985291669444624</v>
      </c>
    </row>
    <row r="70" spans="1:58" x14ac:dyDescent="0.25">
      <c r="A70" t="s">
        <v>80</v>
      </c>
      <c r="B70">
        <v>0</v>
      </c>
      <c r="C70">
        <v>3.5299999710000001</v>
      </c>
      <c r="D70">
        <v>0</v>
      </c>
      <c r="E70">
        <v>0.25299999099999998</v>
      </c>
      <c r="F70">
        <v>3.7557901593965632</v>
      </c>
      <c r="G70">
        <v>3.2738941726216129</v>
      </c>
      <c r="H70">
        <v>3.2780769858565773</v>
      </c>
      <c r="I70">
        <v>2.8797039474938688</v>
      </c>
      <c r="J70">
        <v>4.9372255396702567</v>
      </c>
      <c r="K70">
        <v>-0.55442245952456581</v>
      </c>
      <c r="L70">
        <v>69</v>
      </c>
      <c r="M70">
        <v>4761</v>
      </c>
      <c r="N70">
        <v>-7.2612470402525645E-3</v>
      </c>
      <c r="O70" s="4">
        <v>3.5072076861614785</v>
      </c>
      <c r="P70" s="4">
        <v>3.149611487966419</v>
      </c>
      <c r="Q70" s="4">
        <v>2.3238572282695853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7749763746591500</v>
      </c>
      <c r="X70" s="2">
        <v>6.5554678620000004</v>
      </c>
      <c r="Y70" s="2">
        <v>6.5936113110000001</v>
      </c>
      <c r="Z70" s="2">
        <v>8.2077289340000004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>
        <v>2.5069705300870901</v>
      </c>
      <c r="AV70" s="5">
        <v>24.59301885</v>
      </c>
      <c r="AW70" s="6">
        <v>30.93</v>
      </c>
      <c r="AX70" s="6">
        <f t="shared" si="3"/>
        <v>3.4317265866969784</v>
      </c>
      <c r="AY70" s="5">
        <f t="shared" si="5"/>
        <v>1.6414709860555377</v>
      </c>
      <c r="AZ70" s="5">
        <f t="shared" si="4"/>
        <v>1.8885289849444624</v>
      </c>
      <c r="BA70" s="5">
        <f>$C70-AY71</f>
        <v>2.8839006543023209</v>
      </c>
      <c r="BB70">
        <v>0.56436299999999995</v>
      </c>
      <c r="BC70">
        <v>0</v>
      </c>
      <c r="BD70">
        <v>4.829999924</v>
      </c>
      <c r="BE70" s="5">
        <f>BD70-AY70</f>
        <v>3.1885289379444623</v>
      </c>
      <c r="BF70" s="5">
        <f>BD70-AY71</f>
        <v>4.1839006073023208</v>
      </c>
    </row>
    <row r="71" spans="1:58" x14ac:dyDescent="0.25">
      <c r="A71" t="s">
        <v>81</v>
      </c>
      <c r="B71">
        <v>0</v>
      </c>
      <c r="C71">
        <v>3.476666689</v>
      </c>
      <c r="D71">
        <v>-8.4</v>
      </c>
      <c r="E71">
        <v>0.25299999099999998</v>
      </c>
      <c r="F71">
        <v>3.762246080109918</v>
      </c>
      <c r="G71">
        <v>3.2853000669159829</v>
      </c>
      <c r="H71">
        <v>3.2941308508469329</v>
      </c>
      <c r="I71">
        <v>2.8770050422851896</v>
      </c>
      <c r="J71">
        <v>4.9481923534730372</v>
      </c>
      <c r="K71">
        <v>-0.54898634713343675</v>
      </c>
      <c r="L71">
        <v>70</v>
      </c>
      <c r="M71">
        <v>4900</v>
      </c>
      <c r="N71">
        <v>0</v>
      </c>
      <c r="O71" s="4">
        <v>3.5260957836930227</v>
      </c>
      <c r="P71" s="4">
        <v>3.1634476779585836</v>
      </c>
      <c r="Q71" s="4">
        <v>2.3495640941880405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7767298289141370</v>
      </c>
      <c r="X71" s="2">
        <v>6.5646617699999998</v>
      </c>
      <c r="Y71" s="2">
        <v>6.5746044909999997</v>
      </c>
      <c r="Z71" s="2">
        <v>8.2195685209999994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>
        <v>2.5163506816719199</v>
      </c>
      <c r="AV71" s="5">
        <v>24.6622001</v>
      </c>
      <c r="AW71" s="6">
        <v>30.98</v>
      </c>
      <c r="AX71" s="6">
        <f t="shared" si="3"/>
        <v>3.4333418349887226</v>
      </c>
      <c r="AY71" s="5">
        <f t="shared" si="5"/>
        <v>0.64609931669767917</v>
      </c>
      <c r="AZ71" s="5">
        <f t="shared" si="4"/>
        <v>2.8305673723023208</v>
      </c>
      <c r="BA71" s="5">
        <f>$C71-AY72</f>
        <v>2.573877332693856</v>
      </c>
      <c r="BB71">
        <v>0.50161900000000004</v>
      </c>
      <c r="BC71">
        <v>0</v>
      </c>
      <c r="BD71">
        <v>4.8499999049999998</v>
      </c>
      <c r="BE71" s="5">
        <f>BD71-AY71</f>
        <v>4.2039005883023206</v>
      </c>
      <c r="BF71" s="5">
        <f>BD71-AY72</f>
        <v>3.9472105486938558</v>
      </c>
    </row>
    <row r="72" spans="1:58" x14ac:dyDescent="0.25">
      <c r="A72" t="s">
        <v>82</v>
      </c>
      <c r="B72">
        <v>0</v>
      </c>
      <c r="C72">
        <v>3.4966666700000002</v>
      </c>
      <c r="D72">
        <v>0</v>
      </c>
      <c r="E72">
        <v>0.25299999099999998</v>
      </c>
      <c r="F72">
        <v>3.7628499168136664</v>
      </c>
      <c r="G72">
        <v>3.298795448044074</v>
      </c>
      <c r="H72">
        <v>3.3098410386002075</v>
      </c>
      <c r="I72">
        <v>2.8928686380947521</v>
      </c>
      <c r="J72">
        <v>4.9530556150659972</v>
      </c>
      <c r="K72">
        <v>-0.53975188800664498</v>
      </c>
      <c r="L72">
        <v>71</v>
      </c>
      <c r="M72">
        <v>5041</v>
      </c>
      <c r="N72">
        <v>0</v>
      </c>
      <c r="O72" s="4">
        <v>3.545442015369948</v>
      </c>
      <c r="P72" s="4">
        <v>3.1764275086033615</v>
      </c>
      <c r="Q72" s="4">
        <v>2.3820430143287612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7785601604299050</v>
      </c>
      <c r="X72" s="2">
        <v>6.5720432100000004</v>
      </c>
      <c r="Y72" s="2">
        <v>6.5990313540000001</v>
      </c>
      <c r="Z72" s="2">
        <v>8.2330515109999993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>
        <v>2.52378934516216</v>
      </c>
      <c r="AV72" s="5">
        <v>24.759970460000002</v>
      </c>
      <c r="AW72" s="6">
        <v>31.05</v>
      </c>
      <c r="AX72" s="6">
        <f t="shared" si="3"/>
        <v>3.4355988083794879</v>
      </c>
      <c r="AY72" s="5">
        <f t="shared" si="5"/>
        <v>0.90278935630614399</v>
      </c>
      <c r="AZ72" s="5">
        <f t="shared" si="4"/>
        <v>2.5938773136938562</v>
      </c>
      <c r="BA72" s="5">
        <f>$C72-AY73</f>
        <v>1.6544313138109854</v>
      </c>
      <c r="BB72">
        <v>0.63019700000000001</v>
      </c>
      <c r="BC72">
        <v>0</v>
      </c>
      <c r="BD72">
        <v>4.8233332630000003</v>
      </c>
      <c r="BE72" s="5">
        <f>BD72-AY72</f>
        <v>3.9205439066938563</v>
      </c>
      <c r="BF72" s="5">
        <f>BD72-AY73</f>
        <v>2.9810979068109855</v>
      </c>
    </row>
    <row r="73" spans="1:58" x14ac:dyDescent="0.25">
      <c r="A73" t="s">
        <v>83</v>
      </c>
      <c r="B73">
        <v>0</v>
      </c>
      <c r="C73">
        <v>3.6833333970000002</v>
      </c>
      <c r="D73">
        <v>0</v>
      </c>
      <c r="E73">
        <v>0.25299999099999998</v>
      </c>
      <c r="F73">
        <v>3.7599667973294992</v>
      </c>
      <c r="G73">
        <v>3.3015611914868086</v>
      </c>
      <c r="H73">
        <v>3.3184158745100611</v>
      </c>
      <c r="I73">
        <v>2.9001570586309615</v>
      </c>
      <c r="J73">
        <v>4.9599874054247097</v>
      </c>
      <c r="K73">
        <v>-0.53552416061471908</v>
      </c>
      <c r="L73">
        <v>72</v>
      </c>
      <c r="M73">
        <v>5184</v>
      </c>
      <c r="N73">
        <v>0</v>
      </c>
      <c r="O73" s="4">
        <v>3.5473734918197568</v>
      </c>
      <c r="P73" s="4">
        <v>3.1900235729611719</v>
      </c>
      <c r="Q73" s="4">
        <v>2.3508989532725963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7788451993285100</v>
      </c>
      <c r="X73" s="2">
        <v>6.5660240099999996</v>
      </c>
      <c r="Y73" s="2">
        <v>6.6099462170000001</v>
      </c>
      <c r="Z73" s="2">
        <v>8.2365794129999994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>
        <v>2.52607441044298</v>
      </c>
      <c r="AV73" s="5">
        <v>24.879396060000001</v>
      </c>
      <c r="AW73" s="6">
        <v>31.193333333333332</v>
      </c>
      <c r="AX73" s="6">
        <f t="shared" si="3"/>
        <v>3.4402043967699605</v>
      </c>
      <c r="AY73" s="5">
        <f t="shared" si="5"/>
        <v>1.8422353561890148</v>
      </c>
      <c r="AZ73" s="5">
        <f t="shared" si="4"/>
        <v>1.8410980408109854</v>
      </c>
      <c r="BA73" s="5">
        <f>$C73-AY74</f>
        <v>2.445669032667853</v>
      </c>
      <c r="BB73">
        <v>0.62183999999999995</v>
      </c>
      <c r="BC73">
        <v>0</v>
      </c>
      <c r="BD73">
        <v>4.8099999430000002</v>
      </c>
      <c r="BE73" s="5">
        <f>BD73-AY73</f>
        <v>2.9677645868109854</v>
      </c>
      <c r="BF73" s="5">
        <f>BD73-AY74</f>
        <v>3.572335578667853</v>
      </c>
    </row>
    <row r="74" spans="1:58" x14ac:dyDescent="0.25">
      <c r="A74" t="s">
        <v>84</v>
      </c>
      <c r="B74">
        <v>1</v>
      </c>
      <c r="C74">
        <v>3.8900001049999999</v>
      </c>
      <c r="D74">
        <v>-4.5</v>
      </c>
      <c r="E74">
        <v>0.24400000299999999</v>
      </c>
      <c r="F74">
        <v>3.7575422711389059</v>
      </c>
      <c r="G74">
        <v>3.3258270746373788</v>
      </c>
      <c r="H74">
        <v>3.3290371389897282</v>
      </c>
      <c r="I74">
        <v>2.9447021024412119</v>
      </c>
      <c r="J74">
        <v>4.97206077211648</v>
      </c>
      <c r="K74">
        <v>-0.53139282039204738</v>
      </c>
      <c r="L74">
        <v>73</v>
      </c>
      <c r="M74">
        <v>5329</v>
      </c>
      <c r="N74">
        <v>3.2563647128478392E-3</v>
      </c>
      <c r="O74" s="4">
        <v>3.5568897296509845</v>
      </c>
      <c r="P74" s="4">
        <v>3.2013226656206117</v>
      </c>
      <c r="Q74" s="4">
        <v>2.4398221112991307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781050757845903</v>
      </c>
      <c r="X74" s="2">
        <v>6.5648056370000001</v>
      </c>
      <c r="Y74" s="2">
        <v>6.6470038310000001</v>
      </c>
      <c r="Z74" s="2">
        <v>8.2609581050000003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>
        <v>2.5210229454859698</v>
      </c>
      <c r="AV74" s="5">
        <v>25.005391419999999</v>
      </c>
      <c r="AW74" s="6">
        <v>31.29</v>
      </c>
      <c r="AX74" s="6">
        <f t="shared" si="3"/>
        <v>3.4432985576807909</v>
      </c>
      <c r="AY74" s="5">
        <f t="shared" si="5"/>
        <v>1.2376643643321472</v>
      </c>
      <c r="AZ74" s="5">
        <f t="shared" si="4"/>
        <v>2.6523357406678527</v>
      </c>
      <c r="BA74" s="5">
        <f>$C74-AY75</f>
        <v>1.3414091321430432</v>
      </c>
      <c r="BB74">
        <v>0.67486800000000002</v>
      </c>
      <c r="BC74">
        <v>0</v>
      </c>
      <c r="BD74">
        <v>4.7866668700000004</v>
      </c>
      <c r="BE74" s="5">
        <f>BD74-AY74</f>
        <v>3.5490025056678531</v>
      </c>
      <c r="BF74" s="5">
        <f>BD74-AY75</f>
        <v>2.2380758971430437</v>
      </c>
    </row>
    <row r="75" spans="1:58" x14ac:dyDescent="0.25">
      <c r="A75" t="s">
        <v>85</v>
      </c>
      <c r="B75">
        <v>0</v>
      </c>
      <c r="C75">
        <v>3.873333454</v>
      </c>
      <c r="D75">
        <v>0</v>
      </c>
      <c r="E75">
        <v>0.24400000299999999</v>
      </c>
      <c r="F75">
        <v>3.7703672709602043</v>
      </c>
      <c r="G75">
        <v>3.3393219779440679</v>
      </c>
      <c r="H75">
        <v>3.3415543973610897</v>
      </c>
      <c r="I75">
        <v>2.9723101036094985</v>
      </c>
      <c r="J75">
        <v>4.9827775109677104</v>
      </c>
      <c r="K75">
        <v>-0.53023357356494061</v>
      </c>
      <c r="L75">
        <v>74</v>
      </c>
      <c r="M75">
        <v>5476</v>
      </c>
      <c r="N75">
        <v>2.0123616501365529E-3</v>
      </c>
      <c r="O75" s="4">
        <v>3.5664010373884953</v>
      </c>
      <c r="P75" s="4">
        <v>3.2163125424650358</v>
      </c>
      <c r="Q75" s="4">
        <v>2.4414770918606643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7821476312006490</v>
      </c>
      <c r="X75" s="2">
        <v>6.5790726570000002</v>
      </c>
      <c r="Y75" s="2">
        <v>6.6645948300000004</v>
      </c>
      <c r="Z75" s="2">
        <v>8.2745354710000001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>
        <v>2.5165295633864799</v>
      </c>
      <c r="AV75" s="5">
        <v>25.109929080000001</v>
      </c>
      <c r="AW75" s="6">
        <v>31.49</v>
      </c>
      <c r="AX75" s="6">
        <f t="shared" si="3"/>
        <v>3.4496700351129332</v>
      </c>
      <c r="AY75" s="5">
        <f t="shared" si="5"/>
        <v>2.5485909728569567</v>
      </c>
      <c r="AZ75" s="5">
        <f t="shared" si="4"/>
        <v>1.3247424811430433</v>
      </c>
      <c r="BA75" s="5">
        <f>$C75-AY76</f>
        <v>2.6895253814029187</v>
      </c>
      <c r="BB75">
        <v>0.71623099999999995</v>
      </c>
      <c r="BC75">
        <v>0</v>
      </c>
      <c r="BD75">
        <v>4.8200001720000003</v>
      </c>
      <c r="BE75" s="5">
        <f>BD75-AY75</f>
        <v>2.2714091991430436</v>
      </c>
      <c r="BF75" s="5">
        <f>BD75-AY76</f>
        <v>3.6361920994029191</v>
      </c>
    </row>
    <row r="76" spans="1:58" x14ac:dyDescent="0.25">
      <c r="A76" t="s">
        <v>86</v>
      </c>
      <c r="B76">
        <v>0</v>
      </c>
      <c r="C76">
        <v>3.8666665550000001</v>
      </c>
      <c r="D76">
        <v>-1.75</v>
      </c>
      <c r="E76">
        <v>0.24400000299999999</v>
      </c>
      <c r="F76">
        <v>3.8043709773712111</v>
      </c>
      <c r="G76">
        <v>3.3594026920051099</v>
      </c>
      <c r="H76">
        <v>3.3557106794987748</v>
      </c>
      <c r="I76">
        <v>2.9990268405034208</v>
      </c>
      <c r="J76">
        <v>4.9836956588403041</v>
      </c>
      <c r="K76">
        <v>-0.51990583525244616</v>
      </c>
      <c r="L76">
        <v>75</v>
      </c>
      <c r="M76">
        <v>5625</v>
      </c>
      <c r="N76">
        <v>1.977121875441322E-2</v>
      </c>
      <c r="O76" s="4">
        <v>3.5812664034028163</v>
      </c>
      <c r="P76" s="4">
        <v>3.2299344522249345</v>
      </c>
      <c r="Q76" s="4">
        <v>2.4750246499335495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7838512859543340</v>
      </c>
      <c r="X76" s="2">
        <v>6.6237653439999997</v>
      </c>
      <c r="Y76" s="2">
        <v>6.635041009</v>
      </c>
      <c r="Z76" s="2">
        <v>8.2946494600000005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>
        <v>2.5043528546335501</v>
      </c>
      <c r="AV76" s="5">
        <v>25.20506048</v>
      </c>
      <c r="AW76" s="6">
        <v>31.583333333333332</v>
      </c>
      <c r="AX76" s="6">
        <f t="shared" si="3"/>
        <v>3.4526295552944259</v>
      </c>
      <c r="AY76" s="5">
        <f t="shared" si="5"/>
        <v>1.1838080725970812</v>
      </c>
      <c r="AZ76" s="5">
        <f t="shared" si="4"/>
        <v>2.6828584824029189</v>
      </c>
      <c r="BA76" s="5">
        <f>$C76-AY77</f>
        <v>1.7613985372900398</v>
      </c>
      <c r="BB76">
        <v>0.87193200000000004</v>
      </c>
      <c r="BC76">
        <v>0</v>
      </c>
      <c r="BD76">
        <v>4.8899998660000001</v>
      </c>
      <c r="BE76" s="5">
        <f>BD76-AY76</f>
        <v>3.7061917934029189</v>
      </c>
      <c r="BF76" s="5">
        <f>BD76-AY77</f>
        <v>2.7847318482900398</v>
      </c>
    </row>
    <row r="77" spans="1:58" x14ac:dyDescent="0.25">
      <c r="A77" t="s">
        <v>87</v>
      </c>
      <c r="B77">
        <v>0</v>
      </c>
      <c r="C77">
        <v>4.166666985</v>
      </c>
      <c r="D77">
        <v>0</v>
      </c>
      <c r="E77">
        <v>0.24400000299999999</v>
      </c>
      <c r="F77">
        <v>3.8256368874687965</v>
      </c>
      <c r="G77">
        <v>3.3832370562851626</v>
      </c>
      <c r="H77">
        <v>3.3807318428686939</v>
      </c>
      <c r="I77">
        <v>3.0212538107840685</v>
      </c>
      <c r="J77">
        <v>4.995129024224787</v>
      </c>
      <c r="K77">
        <v>-0.51258942656058659</v>
      </c>
      <c r="L77">
        <v>76</v>
      </c>
      <c r="M77">
        <v>5776</v>
      </c>
      <c r="N77">
        <v>0</v>
      </c>
      <c r="O77" s="4">
        <v>3.6176787901028145</v>
      </c>
      <c r="P77" s="4">
        <v>3.2467633283550916</v>
      </c>
      <c r="Q77" s="4">
        <v>2.5163245642329612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786623769092888</v>
      </c>
      <c r="X77" s="2">
        <v>6.6545692619999999</v>
      </c>
      <c r="Y77" s="2">
        <v>6.6694746870000001</v>
      </c>
      <c r="Z77" s="2">
        <v>8.3179370509999995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>
        <v>2.5008144307300699</v>
      </c>
      <c r="AV77" s="5">
        <v>25.368220999999998</v>
      </c>
      <c r="AW77" s="6">
        <v>31.75</v>
      </c>
      <c r="AX77" s="6">
        <f t="shared" si="3"/>
        <v>3.4578927253387008</v>
      </c>
      <c r="AY77" s="5">
        <f t="shared" si="5"/>
        <v>2.1052680177099603</v>
      </c>
      <c r="AZ77" s="5">
        <f t="shared" si="4"/>
        <v>2.0613989672900397</v>
      </c>
      <c r="BA77" s="5">
        <f>$C77-AY78</f>
        <v>0.4464876013983039</v>
      </c>
      <c r="BB77">
        <v>0.98963400000000001</v>
      </c>
      <c r="BC77">
        <v>0</v>
      </c>
      <c r="BD77">
        <v>4.966666698</v>
      </c>
      <c r="BE77" s="5">
        <f>BD77-AY77</f>
        <v>2.8613986802900397</v>
      </c>
      <c r="BF77" s="5">
        <f>BD77-AY78</f>
        <v>1.246487314398304</v>
      </c>
    </row>
    <row r="78" spans="1:58" x14ac:dyDescent="0.25">
      <c r="A78" t="s">
        <v>88</v>
      </c>
      <c r="B78">
        <v>0</v>
      </c>
      <c r="C78">
        <v>4.6100001339999999</v>
      </c>
      <c r="D78">
        <v>-1.75</v>
      </c>
      <c r="E78">
        <v>0.25099998699999998</v>
      </c>
      <c r="F78">
        <v>3.8434657533310035</v>
      </c>
      <c r="G78">
        <v>3.4074776196193057</v>
      </c>
      <c r="H78">
        <v>3.38983299696593</v>
      </c>
      <c r="I78">
        <v>3.0579556167341226</v>
      </c>
      <c r="J78">
        <v>5.0085330860043857</v>
      </c>
      <c r="K78">
        <v>-0.49461826130891928</v>
      </c>
      <c r="L78">
        <v>77</v>
      </c>
      <c r="M78">
        <v>5929</v>
      </c>
      <c r="N78">
        <v>0</v>
      </c>
      <c r="O78" s="4">
        <v>3.6249274276214192</v>
      </c>
      <c r="P78" s="4">
        <v>3.2570960376878983</v>
      </c>
      <c r="Q78" s="4">
        <v>2.5627931884450716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7880892398243270</v>
      </c>
      <c r="X78" s="2">
        <v>6.6757270110000002</v>
      </c>
      <c r="Y78" s="2">
        <v>6.7268542890000003</v>
      </c>
      <c r="Z78" s="2">
        <v>8.3423396790000002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>
        <v>2.49597561096056</v>
      </c>
      <c r="AV78" s="5">
        <v>25.53247872</v>
      </c>
      <c r="AW78" s="6">
        <v>32.046666666666667</v>
      </c>
      <c r="AX78" s="6">
        <f t="shared" si="3"/>
        <v>3.4671931737977051</v>
      </c>
      <c r="AY78" s="5">
        <f t="shared" si="5"/>
        <v>3.7201793836016961</v>
      </c>
      <c r="AZ78" s="5">
        <f t="shared" si="4"/>
        <v>0.88982075039830377</v>
      </c>
      <c r="BA78" s="5">
        <f>$C78-AY79</f>
        <v>1.0065587310489867</v>
      </c>
      <c r="BB78">
        <v>1.0552539999999999</v>
      </c>
      <c r="BC78">
        <v>0</v>
      </c>
      <c r="BD78">
        <v>5.1666665079999996</v>
      </c>
      <c r="BE78" s="5">
        <f>BD78-AY78</f>
        <v>1.4464871243983035</v>
      </c>
      <c r="BF78" s="5">
        <f>BD78-AY79</f>
        <v>1.5632251050489865</v>
      </c>
    </row>
    <row r="79" spans="1:58" x14ac:dyDescent="0.25">
      <c r="A79" t="s">
        <v>89</v>
      </c>
      <c r="B79">
        <v>0</v>
      </c>
      <c r="C79">
        <v>4.5866665839999996</v>
      </c>
      <c r="D79">
        <v>0.9</v>
      </c>
      <c r="E79">
        <v>0.25099998699999998</v>
      </c>
      <c r="F79">
        <v>3.8610244044563307</v>
      </c>
      <c r="G79">
        <v>3.410817625039146</v>
      </c>
      <c r="H79">
        <v>3.4000983609600843</v>
      </c>
      <c r="I79">
        <v>3.0449509173414904</v>
      </c>
      <c r="J79">
        <v>5.0161865241345804</v>
      </c>
      <c r="K79">
        <v>-0.48548191832698767</v>
      </c>
      <c r="L79">
        <v>78</v>
      </c>
      <c r="M79">
        <v>6084</v>
      </c>
      <c r="N79">
        <v>1.2973533990659055E-3</v>
      </c>
      <c r="O79" s="4">
        <v>3.6343704686135436</v>
      </c>
      <c r="P79" s="4">
        <v>3.2679326201550638</v>
      </c>
      <c r="Q79" s="4">
        <v>2.5221221487141436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7883451631168670</v>
      </c>
      <c r="X79" s="2">
        <v>6.6937608270000002</v>
      </c>
      <c r="Y79" s="2">
        <v>6.755222174</v>
      </c>
      <c r="Z79" s="2">
        <v>8.3464285950000008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>
        <v>2.4762169326098902</v>
      </c>
      <c r="AV79" s="5">
        <v>25.747771539999999</v>
      </c>
      <c r="AW79" s="6">
        <v>32.336666666666666</v>
      </c>
      <c r="AX79" s="6">
        <f t="shared" si="3"/>
        <v>3.4762017773050826</v>
      </c>
      <c r="AY79" s="5">
        <f t="shared" si="5"/>
        <v>3.6034414029510131</v>
      </c>
      <c r="AZ79" s="5">
        <f t="shared" si="4"/>
        <v>0.98322518104898649</v>
      </c>
      <c r="BA79" s="5">
        <f>$C79-AY80</f>
        <v>1.1380154364427639</v>
      </c>
      <c r="BB79">
        <v>1.0852839999999999</v>
      </c>
      <c r="BC79">
        <v>0</v>
      </c>
      <c r="BD79">
        <v>5.4899997709999999</v>
      </c>
      <c r="BE79" s="5">
        <f>BD79-AY79</f>
        <v>1.8865583680489868</v>
      </c>
      <c r="BF79" s="5">
        <f>BD79-AY80</f>
        <v>2.0413486234427642</v>
      </c>
    </row>
    <row r="80" spans="1:58" x14ac:dyDescent="0.25">
      <c r="A80" t="s">
        <v>90</v>
      </c>
      <c r="B80">
        <v>0</v>
      </c>
      <c r="C80">
        <v>5.04333353</v>
      </c>
      <c r="D80">
        <v>0</v>
      </c>
      <c r="E80">
        <v>0.25099998699999998</v>
      </c>
      <c r="F80">
        <v>3.8877303128591016</v>
      </c>
      <c r="G80">
        <v>3.4173659628237392</v>
      </c>
      <c r="H80">
        <v>3.4079856802726161</v>
      </c>
      <c r="I80">
        <v>3.0446176712838016</v>
      </c>
      <c r="J80">
        <v>5.021832372189472</v>
      </c>
      <c r="K80">
        <v>-0.47891554195631653</v>
      </c>
      <c r="L80">
        <v>79</v>
      </c>
      <c r="M80">
        <v>6241</v>
      </c>
      <c r="N80">
        <v>1.4104372355430184E-2</v>
      </c>
      <c r="O80" s="4">
        <v>3.6415257577304661</v>
      </c>
      <c r="P80" s="4">
        <v>3.2761631192915792</v>
      </c>
      <c r="Q80" s="4">
        <v>2.5543549730965784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7894806013380400</v>
      </c>
      <c r="X80" s="2">
        <v>6.7308495959999997</v>
      </c>
      <c r="Y80" s="2">
        <v>6.7582485700000001</v>
      </c>
      <c r="Z80" s="2">
        <v>8.3535442119999992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>
        <v>2.4783114719837198</v>
      </c>
      <c r="AV80" s="5">
        <v>26.0126603</v>
      </c>
      <c r="AW80" s="6">
        <v>32.616666666666667</v>
      </c>
      <c r="AX80" s="6">
        <f t="shared" si="3"/>
        <v>3.4848234051739757</v>
      </c>
      <c r="AY80" s="5">
        <f t="shared" si="5"/>
        <v>3.4486511475572357</v>
      </c>
      <c r="AZ80" s="5">
        <f t="shared" si="4"/>
        <v>1.5946823824427643</v>
      </c>
      <c r="BA80" s="5">
        <f>$C80-AY81</f>
        <v>1.7863180793844808</v>
      </c>
      <c r="BB80">
        <v>1.044082</v>
      </c>
      <c r="BC80">
        <v>0</v>
      </c>
      <c r="BD80">
        <v>5.8666667940000004</v>
      </c>
      <c r="BE80" s="5">
        <f>BD80-AY80</f>
        <v>2.4180156464427647</v>
      </c>
      <c r="BF80" s="5">
        <f>BD80-AY81</f>
        <v>2.6096513433844812</v>
      </c>
    </row>
    <row r="81" spans="1:58" x14ac:dyDescent="0.25">
      <c r="A81" t="s">
        <v>91</v>
      </c>
      <c r="B81">
        <v>0</v>
      </c>
      <c r="C81">
        <v>5.2100000380000004</v>
      </c>
      <c r="D81">
        <v>0</v>
      </c>
      <c r="E81">
        <v>0.25099998699999998</v>
      </c>
      <c r="F81">
        <v>3.9038698586717588</v>
      </c>
      <c r="G81">
        <v>3.4254346060262009</v>
      </c>
      <c r="H81">
        <v>3.412939988596893</v>
      </c>
      <c r="I81">
        <v>3.0138177411003757</v>
      </c>
      <c r="J81">
        <v>5.0247091248275808</v>
      </c>
      <c r="K81">
        <v>-0.47194383622178326</v>
      </c>
      <c r="L81">
        <v>80</v>
      </c>
      <c r="M81">
        <v>6400</v>
      </c>
      <c r="N81">
        <v>2.7487076030765351E-2</v>
      </c>
      <c r="O81" s="4">
        <v>3.6387433846201391</v>
      </c>
      <c r="P81" s="4">
        <v>3.2870203365997561</v>
      </c>
      <c r="Q81" s="4">
        <v>2.5539661857194949</v>
      </c>
      <c r="R81" s="1">
        <v>0</v>
      </c>
      <c r="S81" s="5">
        <v>7.8330000000000002</v>
      </c>
      <c r="T81" s="5">
        <v>5.2539999999999996</v>
      </c>
      <c r="U81">
        <f>S81/100</f>
        <v>7.8329999999999997E-2</v>
      </c>
      <c r="V81">
        <f>T81/100</f>
        <v>5.2539999999999996E-2</v>
      </c>
      <c r="W81" s="1">
        <v>7898963483847210</v>
      </c>
      <c r="X81" s="2">
        <v>6.7449859280000002</v>
      </c>
      <c r="Y81" s="2">
        <v>6.7528008159999997</v>
      </c>
      <c r="Z81" s="2">
        <v>8.3620820499999997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>
        <v>2.49899213502878</v>
      </c>
      <c r="AV81" s="5">
        <v>26.252602809999999</v>
      </c>
      <c r="AW81" s="6">
        <v>32.883333333333333</v>
      </c>
      <c r="AX81" s="6">
        <f t="shared" si="3"/>
        <v>3.4929659438005145</v>
      </c>
      <c r="AY81" s="5">
        <f t="shared" si="5"/>
        <v>3.2570154506155191</v>
      </c>
      <c r="AZ81" s="5">
        <f t="shared" si="4"/>
        <v>1.9529845873844813</v>
      </c>
      <c r="BA81" s="5">
        <f>$C81-AY82</f>
        <v>4.1975975739831632</v>
      </c>
      <c r="BB81">
        <v>1.132646</v>
      </c>
      <c r="BC81">
        <v>0</v>
      </c>
      <c r="BD81">
        <v>6.1366667750000001</v>
      </c>
      <c r="BE81" s="5">
        <f>BD81-AY81</f>
        <v>2.879651324384481</v>
      </c>
      <c r="BF81" s="5">
        <f>BD81-AY82</f>
        <v>5.1242643109831629</v>
      </c>
    </row>
    <row r="82" spans="1:58" x14ac:dyDescent="0.25">
      <c r="A82" t="s">
        <v>92</v>
      </c>
      <c r="B82">
        <v>0</v>
      </c>
      <c r="C82">
        <v>4.5133333210000002</v>
      </c>
      <c r="D82">
        <v>0</v>
      </c>
      <c r="E82">
        <v>0.256000012</v>
      </c>
      <c r="F82">
        <v>3.9454384389675496</v>
      </c>
      <c r="G82">
        <v>3.4342129854463197</v>
      </c>
      <c r="H82">
        <v>3.422928520406372</v>
      </c>
      <c r="I82">
        <v>2.9900662519273644</v>
      </c>
      <c r="J82">
        <v>5.0285406979650906</v>
      </c>
      <c r="K82">
        <v>-0.4668733983990272</v>
      </c>
      <c r="L82">
        <v>81</v>
      </c>
      <c r="M82">
        <v>6561</v>
      </c>
      <c r="N82">
        <v>4.8085264592886354E-2</v>
      </c>
      <c r="O82" s="4">
        <v>3.6499307039753615</v>
      </c>
      <c r="P82" s="4">
        <v>3.2962071678045244</v>
      </c>
      <c r="Q82" s="4">
        <v>2.5348865820930211</v>
      </c>
      <c r="R82" s="1">
        <v>0</v>
      </c>
      <c r="S82" s="5">
        <v>2.3239999999999998</v>
      </c>
      <c r="T82" s="5">
        <v>19.03</v>
      </c>
      <c r="U82">
        <f t="shared" ref="U82:U145" si="6">S82/100</f>
        <v>2.3239999999999997E-2</v>
      </c>
      <c r="V82">
        <f t="shared" ref="V82:V145" si="7">T82/100</f>
        <v>0.19030000000000002</v>
      </c>
      <c r="W82" s="1">
        <v>7904709079912060</v>
      </c>
      <c r="X82" s="2">
        <v>6.7914395010000002</v>
      </c>
      <c r="Y82" s="2">
        <v>6.7438534309999998</v>
      </c>
      <c r="Z82" s="2">
        <v>8.3712189929999994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>
        <v>2.5104968564813501</v>
      </c>
      <c r="AV82" s="5">
        <v>26.374689589999999</v>
      </c>
      <c r="AW82" s="6">
        <v>32.966666666666669</v>
      </c>
      <c r="AX82" s="6">
        <f t="shared" si="3"/>
        <v>3.4954969499605566</v>
      </c>
      <c r="AY82" s="5">
        <f t="shared" si="5"/>
        <v>1.0124024640168372</v>
      </c>
      <c r="AZ82" s="5">
        <f t="shared" si="4"/>
        <v>3.500930856983163</v>
      </c>
      <c r="BA82" s="5">
        <f>$C82-AY83</f>
        <v>2.0939711066477171</v>
      </c>
      <c r="BB82">
        <v>1.1228070000000001</v>
      </c>
      <c r="BC82">
        <v>0</v>
      </c>
      <c r="BD82">
        <v>5.8800001139999996</v>
      </c>
      <c r="BE82" s="5">
        <f>BD82-AY82</f>
        <v>4.8675976499831624</v>
      </c>
      <c r="BF82" s="5">
        <f>BD82-AY83</f>
        <v>3.4606378996477165</v>
      </c>
    </row>
    <row r="83" spans="1:58" x14ac:dyDescent="0.25">
      <c r="A83" t="s">
        <v>93</v>
      </c>
      <c r="B83">
        <v>0</v>
      </c>
      <c r="C83">
        <v>3.6599998469999999</v>
      </c>
      <c r="D83">
        <v>0</v>
      </c>
      <c r="E83">
        <v>0.256000012</v>
      </c>
      <c r="F83">
        <v>3.9399883057098481</v>
      </c>
      <c r="G83">
        <v>3.4344064714191904</v>
      </c>
      <c r="H83">
        <v>3.4314753569519683</v>
      </c>
      <c r="I83">
        <v>3.0153388031929094</v>
      </c>
      <c r="J83">
        <v>5.0231434071394423</v>
      </c>
      <c r="K83">
        <v>-0.45229767558713296</v>
      </c>
      <c r="L83">
        <v>82</v>
      </c>
      <c r="M83">
        <v>6724</v>
      </c>
      <c r="N83">
        <v>7.3367571533382251E-3</v>
      </c>
      <c r="O83" s="4">
        <v>3.6573371861040576</v>
      </c>
      <c r="P83" s="4">
        <v>3.305860534835602</v>
      </c>
      <c r="Q83" s="4">
        <v>2.5769539363837013</v>
      </c>
      <c r="R83" s="1">
        <v>0</v>
      </c>
      <c r="S83" s="5">
        <v>8.6509999999999998</v>
      </c>
      <c r="T83" s="5">
        <v>1.1359999999999999</v>
      </c>
      <c r="U83">
        <f t="shared" si="6"/>
        <v>8.6510000000000004E-2</v>
      </c>
      <c r="V83">
        <f t="shared" si="7"/>
        <v>1.1359999999999999E-2</v>
      </c>
      <c r="W83" s="1">
        <v>7918287983967300</v>
      </c>
      <c r="X83" s="2">
        <v>6.7909753479999999</v>
      </c>
      <c r="Y83" s="2">
        <v>6.7448088090000002</v>
      </c>
      <c r="Z83" s="2">
        <v>8.3720980530000002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>
        <v>2.4694623773687798</v>
      </c>
      <c r="AV83" s="5">
        <v>26.514687389999999</v>
      </c>
      <c r="AW83" s="6">
        <v>33.166666666666664</v>
      </c>
      <c r="AX83" s="6">
        <f t="shared" si="3"/>
        <v>3.5015453554964373</v>
      </c>
      <c r="AY83" s="5">
        <f t="shared" si="5"/>
        <v>2.419362214352283</v>
      </c>
      <c r="AZ83" s="5">
        <f t="shared" si="4"/>
        <v>1.2406376326477169</v>
      </c>
      <c r="BA83" s="5">
        <f>$C83-AY84</f>
        <v>-0.34003348683338608</v>
      </c>
      <c r="BB83">
        <v>1.2645550000000001</v>
      </c>
      <c r="BC83">
        <v>0</v>
      </c>
      <c r="BD83">
        <v>5.9800000190000002</v>
      </c>
      <c r="BE83" s="5">
        <f>BD83-AY83</f>
        <v>3.5606378046477172</v>
      </c>
      <c r="BF83" s="5">
        <f>BD83-AY84</f>
        <v>1.9799666851666142</v>
      </c>
    </row>
    <row r="84" spans="1:58" x14ac:dyDescent="0.25">
      <c r="A84" t="s">
        <v>94</v>
      </c>
      <c r="B84">
        <v>0</v>
      </c>
      <c r="C84">
        <v>4.3000001909999996</v>
      </c>
      <c r="D84">
        <v>-1.6</v>
      </c>
      <c r="E84">
        <v>0.256000012</v>
      </c>
      <c r="F84">
        <v>3.9503394637123508</v>
      </c>
      <c r="G84">
        <v>3.4423713142449448</v>
      </c>
      <c r="H84">
        <v>3.4389669549210589</v>
      </c>
      <c r="I84">
        <v>3.0250968821838948</v>
      </c>
      <c r="J84">
        <v>5.0292738454260224</v>
      </c>
      <c r="K84">
        <v>-0.45067680526876386</v>
      </c>
      <c r="L84">
        <v>83</v>
      </c>
      <c r="M84">
        <v>6889</v>
      </c>
      <c r="N84">
        <v>4.6211844825489483E-3</v>
      </c>
      <c r="O84" s="4">
        <v>3.6564079139669734</v>
      </c>
      <c r="P84" s="4">
        <v>3.3194087062291477</v>
      </c>
      <c r="Q84" s="4">
        <v>2.5689413787310742</v>
      </c>
      <c r="R84" s="1">
        <v>0</v>
      </c>
      <c r="S84" s="5">
        <v>9.52</v>
      </c>
      <c r="T84" s="5">
        <v>-5.718</v>
      </c>
      <c r="U84">
        <f t="shared" si="6"/>
        <v>9.5199999999999993E-2</v>
      </c>
      <c r="V84">
        <f t="shared" si="7"/>
        <v>-5.7180000000000002E-2</v>
      </c>
      <c r="W84" s="1">
        <v>7923394933040800</v>
      </c>
      <c r="X84" s="2">
        <v>6.8029371129999996</v>
      </c>
      <c r="Y84" s="2">
        <v>6.7618588900000001</v>
      </c>
      <c r="Z84" s="2">
        <v>8.3806859469999999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>
        <v>2.4880300325573201</v>
      </c>
      <c r="AV84" s="5">
        <v>26.774575349999999</v>
      </c>
      <c r="AW84" s="6">
        <v>33.5</v>
      </c>
      <c r="AX84" s="6">
        <f t="shared" si="3"/>
        <v>3.5115454388310208</v>
      </c>
      <c r="AY84" s="5">
        <f t="shared" si="5"/>
        <v>4.000033333833386</v>
      </c>
      <c r="AZ84" s="5">
        <f t="shared" si="4"/>
        <v>0.29996685716661364</v>
      </c>
      <c r="BA84" s="5">
        <f>$C84-AY85</f>
        <v>-5.4322867100462524E-2</v>
      </c>
      <c r="BB84">
        <v>1.1214869999999999</v>
      </c>
      <c r="BC84">
        <v>0</v>
      </c>
      <c r="BD84">
        <v>6.329999924</v>
      </c>
      <c r="BE84" s="5">
        <f>BD84-AY84</f>
        <v>2.329966590166614</v>
      </c>
      <c r="BF84" s="5">
        <f>BD84-AY85</f>
        <v>1.9756768658995378</v>
      </c>
    </row>
    <row r="85" spans="1:58" x14ac:dyDescent="0.25">
      <c r="A85" t="s">
        <v>95</v>
      </c>
      <c r="B85">
        <v>0</v>
      </c>
      <c r="C85">
        <v>4.7533330920000001</v>
      </c>
      <c r="D85">
        <v>0</v>
      </c>
      <c r="E85">
        <v>0.256000012</v>
      </c>
      <c r="F85">
        <v>3.9571302053269108</v>
      </c>
      <c r="G85">
        <v>3.4499557992959256</v>
      </c>
      <c r="H85">
        <v>3.4456811459528129</v>
      </c>
      <c r="I85">
        <v>3.0558391142861097</v>
      </c>
      <c r="J85">
        <v>5.0342736926616549</v>
      </c>
      <c r="K85">
        <v>-0.44762718267624857</v>
      </c>
      <c r="L85">
        <v>84</v>
      </c>
      <c r="M85">
        <v>7056</v>
      </c>
      <c r="N85">
        <v>-1.1947431302270013E-2</v>
      </c>
      <c r="O85" s="4">
        <v>3.6609171268278149</v>
      </c>
      <c r="P85" s="4">
        <v>3.3278019760853788</v>
      </c>
      <c r="Q85" s="4">
        <v>2.5714665359821094</v>
      </c>
      <c r="R85" s="1">
        <v>0</v>
      </c>
      <c r="S85" s="5">
        <v>9.84</v>
      </c>
      <c r="T85" s="5">
        <v>-8.6920000000000002</v>
      </c>
      <c r="U85">
        <f t="shared" si="6"/>
        <v>9.8400000000000001E-2</v>
      </c>
      <c r="V85">
        <f t="shared" si="7"/>
        <v>-8.6919999999999997E-2</v>
      </c>
      <c r="W85" s="1">
        <v>7929495882521750</v>
      </c>
      <c r="X85" s="2">
        <v>6.8162712860000001</v>
      </c>
      <c r="Y85" s="2">
        <v>6.7829903439999999</v>
      </c>
      <c r="Z85" s="2">
        <v>8.3887005119999998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>
        <v>2.4942566972937499</v>
      </c>
      <c r="AV85" s="5">
        <v>27.07070066</v>
      </c>
      <c r="AW85" s="6">
        <v>33.866666666666667</v>
      </c>
      <c r="AX85" s="6">
        <f t="shared" si="3"/>
        <v>3.5224312464762719</v>
      </c>
      <c r="AY85" s="5">
        <f t="shared" si="5"/>
        <v>4.3543230581004622</v>
      </c>
      <c r="AZ85" s="5">
        <f t="shared" si="4"/>
        <v>0.39901003389953793</v>
      </c>
      <c r="BA85" s="5">
        <f>$C85-AY86</f>
        <v>0.83557405508486404</v>
      </c>
      <c r="BB85">
        <v>1.126457</v>
      </c>
      <c r="BC85">
        <v>0</v>
      </c>
      <c r="BD85">
        <v>6.7233333589999997</v>
      </c>
      <c r="BE85" s="5">
        <f>BD85-AY85</f>
        <v>2.3690103008995376</v>
      </c>
      <c r="BF85" s="5">
        <f>BD85-AY86</f>
        <v>2.8055743220848637</v>
      </c>
    </row>
    <row r="86" spans="1:58" x14ac:dyDescent="0.25">
      <c r="A86" t="s">
        <v>96</v>
      </c>
      <c r="B86">
        <v>0</v>
      </c>
      <c r="C86">
        <v>5.0500001909999996</v>
      </c>
      <c r="D86">
        <v>0</v>
      </c>
      <c r="E86">
        <v>0.286000013</v>
      </c>
      <c r="F86">
        <v>3.9744342655495433</v>
      </c>
      <c r="G86">
        <v>3.4703502403504722</v>
      </c>
      <c r="H86">
        <v>3.4629134882197903</v>
      </c>
      <c r="I86">
        <v>3.0796597334892768</v>
      </c>
      <c r="J86">
        <v>5.0362315633066199</v>
      </c>
      <c r="K86">
        <v>-0.42831947139422499</v>
      </c>
      <c r="L86">
        <v>85</v>
      </c>
      <c r="M86">
        <v>7225</v>
      </c>
      <c r="N86">
        <v>5.8637269848715841E-3</v>
      </c>
      <c r="O86" s="4">
        <v>3.6803935504636383</v>
      </c>
      <c r="P86" s="4">
        <v>3.3433563819723053</v>
      </c>
      <c r="Q86" s="4">
        <v>2.6317449448921355</v>
      </c>
      <c r="R86" s="1">
        <v>0</v>
      </c>
      <c r="S86" s="5">
        <v>6.2279999999999998</v>
      </c>
      <c r="T86" s="5">
        <v>7.0640000000000001</v>
      </c>
      <c r="U86">
        <f t="shared" si="6"/>
        <v>6.2279999999999995E-2</v>
      </c>
      <c r="V86">
        <f t="shared" si="7"/>
        <v>7.0639999999999994E-2</v>
      </c>
      <c r="W86" s="1">
        <v>7953178090679340</v>
      </c>
      <c r="X86" s="2">
        <v>6.8363820239999997</v>
      </c>
      <c r="Y86" s="2">
        <v>6.8262836120000001</v>
      </c>
      <c r="Z86" s="2">
        <v>8.4088058770000007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>
        <v>2.50059830182055</v>
      </c>
      <c r="AV86" s="5">
        <v>27.36717681</v>
      </c>
      <c r="AW86" s="6">
        <v>34.200000000000003</v>
      </c>
      <c r="AX86" s="6">
        <f t="shared" si="3"/>
        <v>3.5322256440685598</v>
      </c>
      <c r="AY86" s="5">
        <f t="shared" si="5"/>
        <v>3.9177590369151361</v>
      </c>
      <c r="AZ86" s="5">
        <f t="shared" si="4"/>
        <v>1.1322411540848636</v>
      </c>
      <c r="BA86" s="5">
        <f>$C86-AY87</f>
        <v>1.1702413555146522</v>
      </c>
      <c r="BB86">
        <v>1.0475509999999999</v>
      </c>
      <c r="BC86">
        <v>0</v>
      </c>
      <c r="BD86">
        <v>6.829999924</v>
      </c>
      <c r="BE86" s="5">
        <f>BD86-AY86</f>
        <v>2.9122408870848639</v>
      </c>
      <c r="BF86" s="5">
        <f>BD86-AY87</f>
        <v>2.9502410885146526</v>
      </c>
    </row>
    <row r="87" spans="1:58" x14ac:dyDescent="0.25">
      <c r="A87" t="s">
        <v>97</v>
      </c>
      <c r="B87">
        <v>0</v>
      </c>
      <c r="C87">
        <v>5.5199999809999998</v>
      </c>
      <c r="D87">
        <v>0</v>
      </c>
      <c r="E87">
        <v>0.286000013</v>
      </c>
      <c r="F87">
        <v>3.9790459378586376</v>
      </c>
      <c r="G87">
        <v>3.4871915748290165</v>
      </c>
      <c r="H87">
        <v>3.4771738416523652</v>
      </c>
      <c r="I87">
        <v>3.074543453978281</v>
      </c>
      <c r="J87">
        <v>5.0445019562744164</v>
      </c>
      <c r="K87">
        <v>-0.42096576038210998</v>
      </c>
      <c r="L87">
        <v>86</v>
      </c>
      <c r="M87">
        <v>7396</v>
      </c>
      <c r="N87">
        <v>-2.6483291657194818E-2</v>
      </c>
      <c r="O87" s="4">
        <v>3.6926224403927708</v>
      </c>
      <c r="P87" s="4">
        <v>3.358985532852846</v>
      </c>
      <c r="Q87" s="4">
        <v>2.6528193401027913</v>
      </c>
      <c r="R87" s="1">
        <v>0</v>
      </c>
      <c r="S87" s="5">
        <v>4.4710000000000001</v>
      </c>
      <c r="T87" s="5">
        <v>3.1080000000000001</v>
      </c>
      <c r="U87">
        <f t="shared" si="6"/>
        <v>4.471E-2</v>
      </c>
      <c r="V87">
        <f t="shared" si="7"/>
        <v>3.108E-2</v>
      </c>
      <c r="W87" s="1">
        <v>7968290759987530</v>
      </c>
      <c r="X87" s="2">
        <v>6.8432005159999996</v>
      </c>
      <c r="Y87" s="2">
        <v>6.8343254900000003</v>
      </c>
      <c r="Z87" s="2">
        <v>8.4255602419999995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>
        <v>2.48959457139172</v>
      </c>
      <c r="AV87" s="5">
        <v>27.653392060000002</v>
      </c>
      <c r="AW87" s="6">
        <v>34.533333333333331</v>
      </c>
      <c r="AX87" s="6">
        <f t="shared" si="3"/>
        <v>3.5419250411572731</v>
      </c>
      <c r="AY87" s="5">
        <f t="shared" si="5"/>
        <v>3.8797588354853474</v>
      </c>
      <c r="AZ87" s="5">
        <f t="shared" si="4"/>
        <v>1.6402411455146524</v>
      </c>
      <c r="BA87" s="5">
        <f>$C87-AY88</f>
        <v>0.15079184814384838</v>
      </c>
      <c r="BB87">
        <v>0.98556200000000005</v>
      </c>
      <c r="BC87">
        <v>0</v>
      </c>
      <c r="BD87">
        <v>7.0233335490000002</v>
      </c>
      <c r="BE87" s="5">
        <f>BD87-AY87</f>
        <v>3.1435747135146528</v>
      </c>
      <c r="BF87" s="5">
        <f>BD87-AY88</f>
        <v>1.6541254161438488</v>
      </c>
    </row>
    <row r="88" spans="1:58" x14ac:dyDescent="0.25">
      <c r="A88" t="s">
        <v>98</v>
      </c>
      <c r="B88">
        <v>0</v>
      </c>
      <c r="C88">
        <v>5.1966667180000004</v>
      </c>
      <c r="D88">
        <v>0</v>
      </c>
      <c r="E88">
        <v>0.286000013</v>
      </c>
      <c r="F88">
        <v>3.9811385360588241</v>
      </c>
      <c r="G88">
        <v>3.4940196206218763</v>
      </c>
      <c r="H88">
        <v>3.4909569985841049</v>
      </c>
      <c r="I88">
        <v>3.0891770782638543</v>
      </c>
      <c r="J88">
        <v>5.0511244332263017</v>
      </c>
      <c r="K88">
        <v>-0.40983599727800357</v>
      </c>
      <c r="L88">
        <v>87</v>
      </c>
      <c r="M88">
        <v>7569</v>
      </c>
      <c r="N88">
        <v>0</v>
      </c>
      <c r="O88" s="4">
        <v>3.7084369533294672</v>
      </c>
      <c r="P88" s="4">
        <v>3.3718028992527014</v>
      </c>
      <c r="Q88" s="4">
        <v>2.6968544283414753</v>
      </c>
      <c r="R88" s="1">
        <v>0</v>
      </c>
      <c r="S88" s="5">
        <v>4.7789999999999999</v>
      </c>
      <c r="T88" s="5">
        <v>-2.3450000000000002</v>
      </c>
      <c r="U88">
        <f t="shared" si="6"/>
        <v>4.7789999999999999E-2</v>
      </c>
      <c r="V88">
        <f t="shared" si="7"/>
        <v>-2.3450000000000002E-2</v>
      </c>
      <c r="W88" s="1">
        <v>7986859177062200</v>
      </c>
      <c r="X88" s="2">
        <v>6.8498529929999998</v>
      </c>
      <c r="Y88" s="2">
        <v>6.8864944819999998</v>
      </c>
      <c r="Z88" s="2">
        <v>8.4327240349999997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>
        <v>2.5069706955269901</v>
      </c>
      <c r="AV88" s="5">
        <v>27.926970050000001</v>
      </c>
      <c r="AW88" s="6">
        <v>35</v>
      </c>
      <c r="AX88" s="6">
        <f t="shared" si="3"/>
        <v>3.5553480614894135</v>
      </c>
      <c r="AY88" s="5">
        <f t="shared" si="5"/>
        <v>5.3692081328561514</v>
      </c>
      <c r="AZ88" s="5">
        <f t="shared" si="4"/>
        <v>-0.17254141485615104</v>
      </c>
      <c r="BA88" s="5">
        <f>$C88-AY89</f>
        <v>0.2746926418484863</v>
      </c>
      <c r="BB88">
        <v>0.92392200000000002</v>
      </c>
      <c r="BC88">
        <v>0</v>
      </c>
      <c r="BD88">
        <v>6.8633332249999999</v>
      </c>
      <c r="BE88" s="5">
        <f>BD88-AY88</f>
        <v>1.4941250921438485</v>
      </c>
      <c r="BF88" s="5">
        <f>BD88-AY89</f>
        <v>1.9413591488484858</v>
      </c>
    </row>
    <row r="89" spans="1:58" x14ac:dyDescent="0.25">
      <c r="A89" t="s">
        <v>99</v>
      </c>
      <c r="B89">
        <v>0</v>
      </c>
      <c r="C89">
        <v>5.5866665839999996</v>
      </c>
      <c r="D89">
        <v>0</v>
      </c>
      <c r="E89">
        <v>0.286000013</v>
      </c>
      <c r="F89">
        <v>3.9819594316273101</v>
      </c>
      <c r="G89">
        <v>3.498324092392878</v>
      </c>
      <c r="H89">
        <v>3.4975868016045495</v>
      </c>
      <c r="I89">
        <v>3.1134708637782462</v>
      </c>
      <c r="J89">
        <v>5.0550412585169209</v>
      </c>
      <c r="K89">
        <v>-0.40393220168664307</v>
      </c>
      <c r="L89">
        <v>88</v>
      </c>
      <c r="M89">
        <v>7744</v>
      </c>
      <c r="N89">
        <v>0</v>
      </c>
      <c r="O89" s="4">
        <v>3.7086575713058241</v>
      </c>
      <c r="P89" s="4">
        <v>3.3828297243039707</v>
      </c>
      <c r="Q89" s="4">
        <v>2.6909040422672397</v>
      </c>
      <c r="R89" s="1">
        <v>0</v>
      </c>
      <c r="S89" s="5">
        <v>0.34699999999999998</v>
      </c>
      <c r="T89" s="5">
        <v>2.073</v>
      </c>
      <c r="U89">
        <f t="shared" si="6"/>
        <v>3.4699999999999996E-3</v>
      </c>
      <c r="V89">
        <f t="shared" si="7"/>
        <v>2.0729999999999998E-2</v>
      </c>
      <c r="W89" s="1">
        <v>7991359846396660</v>
      </c>
      <c r="X89" s="2">
        <v>6.8525455810000002</v>
      </c>
      <c r="Y89" s="2">
        <v>6.9001619380000001</v>
      </c>
      <c r="Z89" s="2">
        <v>8.4371538170000004</v>
      </c>
      <c r="AA89" s="2">
        <v>0</v>
      </c>
      <c r="AB89">
        <v>-3.3362281169839192E-3</v>
      </c>
      <c r="AC89">
        <v>-6.3832165338822411E-3</v>
      </c>
      <c r="AD89">
        <v>-5.0105993991216291E-3</v>
      </c>
      <c r="AE89">
        <v>-6.864875766352474E-3</v>
      </c>
      <c r="AF89" s="2">
        <v>0</v>
      </c>
      <c r="AG89">
        <v>-9.7194446508661603E-3</v>
      </c>
      <c r="AH89">
        <v>-1.4730044049987789E-2</v>
      </c>
      <c r="AI89">
        <v>-2.1594919816340263E-2</v>
      </c>
      <c r="AJ89" s="2">
        <v>0</v>
      </c>
      <c r="AK89">
        <v>-1.139381593300387E-2</v>
      </c>
      <c r="AL89">
        <v>-1.8258691699356344E-2</v>
      </c>
      <c r="AM89" s="2">
        <v>0</v>
      </c>
      <c r="AN89">
        <v>-1.1875475165474103E-2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>
        <v>2.4836743161997101</v>
      </c>
      <c r="AV89" s="5">
        <v>28.318209320000001</v>
      </c>
      <c r="AW89" s="6">
        <v>35.43333333333333</v>
      </c>
      <c r="AX89" s="6">
        <f t="shared" si="3"/>
        <v>3.5676529966797923</v>
      </c>
      <c r="AY89" s="5">
        <f t="shared" si="5"/>
        <v>4.9219740761515141</v>
      </c>
      <c r="AZ89" s="5">
        <f t="shared" si="4"/>
        <v>0.66469250784848555</v>
      </c>
      <c r="BA89" s="5">
        <f>$C89-AY90</f>
        <v>0.72452163208716058</v>
      </c>
      <c r="BB89">
        <v>0.93943699999999997</v>
      </c>
      <c r="BC89">
        <v>0</v>
      </c>
      <c r="BD89">
        <v>7.0266666410000003</v>
      </c>
      <c r="BE89" s="5">
        <f>BD89-AY89</f>
        <v>2.1046925648484862</v>
      </c>
      <c r="BF89" s="5">
        <f>BD89-AY90</f>
        <v>2.1645216890871612</v>
      </c>
    </row>
    <row r="90" spans="1:58" x14ac:dyDescent="0.25">
      <c r="A90" t="s">
        <v>100</v>
      </c>
      <c r="B90">
        <v>0</v>
      </c>
      <c r="C90">
        <v>6.0933332440000001</v>
      </c>
      <c r="D90">
        <v>0</v>
      </c>
      <c r="E90">
        <v>0.29800000799999998</v>
      </c>
      <c r="F90">
        <v>3.9829287129438771</v>
      </c>
      <c r="G90">
        <v>3.5139604308367232</v>
      </c>
      <c r="H90">
        <v>3.5073452054116139</v>
      </c>
      <c r="I90">
        <v>3.1444970468191027</v>
      </c>
      <c r="J90">
        <v>5.0674377186536121</v>
      </c>
      <c r="K90">
        <v>-0.41023314625133905</v>
      </c>
      <c r="L90">
        <v>89</v>
      </c>
      <c r="M90">
        <v>7921</v>
      </c>
      <c r="N90">
        <v>0</v>
      </c>
      <c r="O90" s="4">
        <v>3.7196995964538226</v>
      </c>
      <c r="P90" s="4">
        <v>3.3917192726280447</v>
      </c>
      <c r="Q90" s="4">
        <v>2.7095823600802866</v>
      </c>
      <c r="R90">
        <v>-7.3549125433753117E-3</v>
      </c>
      <c r="S90" s="5">
        <v>3.5840000000000001</v>
      </c>
      <c r="T90" s="5">
        <v>-2.5139999999999998</v>
      </c>
      <c r="U90">
        <f t="shared" si="6"/>
        <v>3.5840000000000004E-2</v>
      </c>
      <c r="V90">
        <f t="shared" si="7"/>
        <v>-2.5139999999999999E-2</v>
      </c>
      <c r="W90" s="1">
        <v>8002386988981900</v>
      </c>
      <c r="X90" s="2">
        <v>6.8507381179999998</v>
      </c>
      <c r="Y90" s="2">
        <v>6.9403217899999996</v>
      </c>
      <c r="Z90" s="2">
        <v>8.4525693329999996</v>
      </c>
      <c r="AA90" s="2">
        <v>0</v>
      </c>
      <c r="AB90">
        <v>-5.1189112883662236E-3</v>
      </c>
      <c r="AC90">
        <v>-1.2710574210018644E-3</v>
      </c>
      <c r="AD90">
        <v>-7.2839015665524531E-3</v>
      </c>
      <c r="AE90" s="2">
        <v>0</v>
      </c>
      <c r="AF90" s="2">
        <v>0</v>
      </c>
      <c r="AG90">
        <v>-6.3899687093680879E-3</v>
      </c>
      <c r="AH90">
        <v>-1.3673870275920541E-2</v>
      </c>
      <c r="AI90" s="2">
        <v>0</v>
      </c>
      <c r="AJ90" s="2">
        <v>0</v>
      </c>
      <c r="AK90">
        <v>-8.5549589875543175E-3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>
        <v>3.3205161779197856E-3</v>
      </c>
      <c r="AR90" s="2">
        <v>0</v>
      </c>
      <c r="AS90">
        <v>3.3205161779197856E-3</v>
      </c>
      <c r="AT90" s="2">
        <v>0</v>
      </c>
      <c r="AU90">
        <v>2.4762114824210602</v>
      </c>
      <c r="AV90" s="5">
        <v>28.614395040000002</v>
      </c>
      <c r="AW90" s="6">
        <v>35.866666666666667</v>
      </c>
      <c r="AX90" s="6">
        <f t="shared" si="3"/>
        <v>3.5798083590595744</v>
      </c>
      <c r="AY90" s="5">
        <f t="shared" si="5"/>
        <v>4.862144951912839</v>
      </c>
      <c r="AZ90" s="5">
        <f t="shared" si="4"/>
        <v>1.2311882920871611</v>
      </c>
      <c r="BA90" s="5">
        <f>$C90-AY91</f>
        <v>-0.17696573792343884</v>
      </c>
      <c r="BB90">
        <v>0.85797800000000002</v>
      </c>
      <c r="BC90">
        <v>0</v>
      </c>
      <c r="BD90">
        <v>7.3766670230000004</v>
      </c>
      <c r="BE90" s="5">
        <f>BD90-AY90</f>
        <v>2.5145220710871614</v>
      </c>
      <c r="BF90" s="5">
        <f>BD90-AY91</f>
        <v>1.1063680410765615</v>
      </c>
    </row>
    <row r="91" spans="1:58" x14ac:dyDescent="0.25">
      <c r="A91" t="s">
        <v>101</v>
      </c>
      <c r="B91">
        <v>0</v>
      </c>
      <c r="C91">
        <v>6.1966667180000004</v>
      </c>
      <c r="D91">
        <v>0</v>
      </c>
      <c r="E91">
        <v>0.29800000799999998</v>
      </c>
      <c r="F91">
        <v>3.9787466374710543</v>
      </c>
      <c r="G91">
        <v>3.5168744977219317</v>
      </c>
      <c r="H91">
        <v>3.5153197635158486</v>
      </c>
      <c r="I91">
        <v>3.1488824530476656</v>
      </c>
      <c r="J91">
        <v>5.0702868936604322</v>
      </c>
      <c r="K91">
        <v>-0.39772392828607217</v>
      </c>
      <c r="L91">
        <v>90</v>
      </c>
      <c r="M91">
        <v>8100</v>
      </c>
      <c r="N91">
        <v>0</v>
      </c>
      <c r="O91" s="4">
        <v>3.7218789323770443</v>
      </c>
      <c r="P91" s="4">
        <v>3.4039269862330217</v>
      </c>
      <c r="Q91" s="4">
        <v>2.7069162250610073</v>
      </c>
      <c r="R91">
        <v>-1.7571223982526508E-2</v>
      </c>
      <c r="S91" s="5">
        <v>0.90500000000000003</v>
      </c>
      <c r="T91" s="5">
        <v>-1.964</v>
      </c>
      <c r="U91">
        <f t="shared" si="6"/>
        <v>9.0500000000000008E-3</v>
      </c>
      <c r="V91">
        <f t="shared" si="7"/>
        <v>-1.9640000000000001E-2</v>
      </c>
      <c r="W91" s="1">
        <v>800881723143906</v>
      </c>
      <c r="X91" s="2">
        <v>6.8503972019999999</v>
      </c>
      <c r="Y91" s="2">
        <v>6.9474515300000004</v>
      </c>
      <c r="Z91" s="2">
        <v>8.4557644960000005</v>
      </c>
      <c r="AA91" s="2">
        <v>0</v>
      </c>
      <c r="AB91">
        <v>-3.7460044370470347E-3</v>
      </c>
      <c r="AC91">
        <v>-7.9068037761125809E-3</v>
      </c>
      <c r="AD91">
        <v>-1.0832014588114613E-2</v>
      </c>
      <c r="AE91" s="2">
        <v>0</v>
      </c>
      <c r="AF91" s="2">
        <v>0</v>
      </c>
      <c r="AG91">
        <v>-1.1652808213159616E-2</v>
      </c>
      <c r="AH91">
        <v>-2.2484822801274229E-2</v>
      </c>
      <c r="AI91" s="2">
        <v>0</v>
      </c>
      <c r="AJ91" s="2">
        <v>0</v>
      </c>
      <c r="AK91">
        <v>-1.8738818364227194E-2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>
        <v>3.3205161779197856E-3</v>
      </c>
      <c r="AT91" s="2">
        <v>0</v>
      </c>
      <c r="AU91">
        <v>2.43542783302295</v>
      </c>
      <c r="AV91" s="5">
        <v>28.98245197</v>
      </c>
      <c r="AW91" s="6">
        <v>36.43333333333333</v>
      </c>
      <c r="AX91" s="6">
        <f t="shared" si="3"/>
        <v>3.595484106514383</v>
      </c>
      <c r="AY91" s="5">
        <f t="shared" si="5"/>
        <v>6.2702989819234389</v>
      </c>
      <c r="AZ91" s="5">
        <f t="shared" si="4"/>
        <v>-7.3632263923438579E-2</v>
      </c>
      <c r="BA91" s="5">
        <f>$C91-AY92</f>
        <v>0.74451506572365123</v>
      </c>
      <c r="BB91">
        <v>0.71077900000000005</v>
      </c>
      <c r="BC91">
        <v>0</v>
      </c>
      <c r="BD91">
        <v>7.5866665839999996</v>
      </c>
      <c r="BE91" s="5">
        <f>BD91-AY91</f>
        <v>1.3163676020765607</v>
      </c>
      <c r="BF91" s="5">
        <f>BD91-AY92</f>
        <v>2.1345149317236505</v>
      </c>
    </row>
    <row r="92" spans="1:58" x14ac:dyDescent="0.25">
      <c r="A92" t="s">
        <v>102</v>
      </c>
      <c r="B92">
        <v>0</v>
      </c>
      <c r="C92">
        <v>7.0233335490000002</v>
      </c>
      <c r="D92">
        <v>0</v>
      </c>
      <c r="E92">
        <v>0.29800000799999998</v>
      </c>
      <c r="F92">
        <v>3.9801488344757465</v>
      </c>
      <c r="G92">
        <v>3.5231789983362178</v>
      </c>
      <c r="H92">
        <v>3.5216290367014844</v>
      </c>
      <c r="I92">
        <v>3.1653906563945484</v>
      </c>
      <c r="J92">
        <v>5.0739668371287188</v>
      </c>
      <c r="K92">
        <v>-0.38674069266894817</v>
      </c>
      <c r="L92">
        <v>91</v>
      </c>
      <c r="M92">
        <v>8281</v>
      </c>
      <c r="N92">
        <v>0</v>
      </c>
      <c r="O92" s="4">
        <v>3.7256211354670392</v>
      </c>
      <c r="P92" s="4">
        <v>3.4118405417606352</v>
      </c>
      <c r="Q92" s="4">
        <v>2.7040421797046714</v>
      </c>
      <c r="R92">
        <v>2.2246966474001248E-3</v>
      </c>
      <c r="S92" s="5">
        <v>5.649</v>
      </c>
      <c r="T92" s="5">
        <v>-7.7619999999999996</v>
      </c>
      <c r="U92">
        <f t="shared" si="6"/>
        <v>5.6489999999999999E-2</v>
      </c>
      <c r="V92">
        <f t="shared" si="7"/>
        <v>-7.7619999999999995E-2</v>
      </c>
      <c r="W92" s="1">
        <v>8013680760944470</v>
      </c>
      <c r="X92" s="2">
        <v>6.8617351050000002</v>
      </c>
      <c r="Y92" s="2">
        <v>6.931271915</v>
      </c>
      <c r="Z92" s="2">
        <v>8.461997556</v>
      </c>
      <c r="AA92" s="2">
        <v>0</v>
      </c>
      <c r="AB92">
        <v>-1.2848961691613037E-2</v>
      </c>
      <c r="AC92">
        <v>-1.3145799783222833E-2</v>
      </c>
      <c r="AD92">
        <v>-1.340930625753245E-2</v>
      </c>
      <c r="AE92" s="2">
        <v>0</v>
      </c>
      <c r="AF92" s="2">
        <v>0</v>
      </c>
      <c r="AG92">
        <v>-2.599476147483587E-2</v>
      </c>
      <c r="AH92">
        <v>-3.940406773236832E-2</v>
      </c>
      <c r="AI92" s="2">
        <v>0</v>
      </c>
      <c r="AJ92" s="2">
        <v>0</v>
      </c>
      <c r="AK92">
        <v>-2.6555106040755283E-2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>
        <v>3.3205161779197856E-3</v>
      </c>
      <c r="AT92" s="2">
        <v>0</v>
      </c>
      <c r="AU92">
        <v>2.4236629588748899</v>
      </c>
      <c r="AV92" s="5">
        <v>29.396317719999999</v>
      </c>
      <c r="AW92" s="6">
        <v>36.93333333333333</v>
      </c>
      <c r="AX92" s="6">
        <f t="shared" si="3"/>
        <v>3.6091144856450739</v>
      </c>
      <c r="AY92" s="5">
        <f t="shared" si="5"/>
        <v>5.4521516522763491</v>
      </c>
      <c r="AZ92" s="5">
        <f t="shared" si="4"/>
        <v>1.5711818967236511</v>
      </c>
      <c r="BA92" s="5">
        <f>$C92-AY93</f>
        <v>0.93275461648347857</v>
      </c>
      <c r="BB92">
        <v>0.59336100000000003</v>
      </c>
      <c r="BC92">
        <v>0</v>
      </c>
      <c r="BD92">
        <v>7.916666985</v>
      </c>
      <c r="BE92" s="5">
        <f>BD92-AY92</f>
        <v>2.4645153327236509</v>
      </c>
      <c r="BF92" s="5">
        <f>BD92-AY93</f>
        <v>1.8260880524834784</v>
      </c>
    </row>
    <row r="93" spans="1:58" x14ac:dyDescent="0.25">
      <c r="A93" t="s">
        <v>103</v>
      </c>
      <c r="B93">
        <v>0</v>
      </c>
      <c r="C93">
        <v>7.3533334730000002</v>
      </c>
      <c r="D93">
        <v>0</v>
      </c>
      <c r="E93">
        <v>0.29800000799999998</v>
      </c>
      <c r="F93">
        <v>3.9653552198049171</v>
      </c>
      <c r="G93">
        <v>3.518476586713509</v>
      </c>
      <c r="H93">
        <v>3.5314503778378672</v>
      </c>
      <c r="I93">
        <v>3.139789326547417</v>
      </c>
      <c r="J93">
        <v>5.0714732264937039</v>
      </c>
      <c r="K93">
        <v>-0.3774617582217305</v>
      </c>
      <c r="L93">
        <v>92</v>
      </c>
      <c r="M93">
        <v>8464</v>
      </c>
      <c r="N93">
        <v>0</v>
      </c>
      <c r="O93" s="4">
        <v>3.7322980744814576</v>
      </c>
      <c r="P93" s="4">
        <v>3.4241323529446515</v>
      </c>
      <c r="Q93" s="4">
        <v>2.7001524289750694</v>
      </c>
      <c r="R93">
        <v>-8.3221738850098835E-3</v>
      </c>
      <c r="S93" s="5">
        <v>0.308</v>
      </c>
      <c r="T93" s="5">
        <v>-2.6960000000000002</v>
      </c>
      <c r="U93">
        <f t="shared" si="6"/>
        <v>3.0799999999999998E-3</v>
      </c>
      <c r="V93">
        <f t="shared" si="7"/>
        <v>-2.6960000000000001E-2</v>
      </c>
      <c r="W93" s="1">
        <v>8021641327640050</v>
      </c>
      <c r="X93" s="2">
        <v>6.8465307129999999</v>
      </c>
      <c r="Y93" s="2">
        <v>6.9282747929999999</v>
      </c>
      <c r="Z93" s="2">
        <v>8.4576554789999996</v>
      </c>
      <c r="AA93" s="2">
        <v>0</v>
      </c>
      <c r="AB93">
        <v>-2.3543581883916476E-2</v>
      </c>
      <c r="AC93">
        <v>-2.0476779893752517E-2</v>
      </c>
      <c r="AD93">
        <v>-1.5050149726501205E-2</v>
      </c>
      <c r="AE93">
        <v>-1.765549597556848E-2</v>
      </c>
      <c r="AF93" s="2">
        <v>0</v>
      </c>
      <c r="AG93">
        <v>-4.4020361777668993E-2</v>
      </c>
      <c r="AH93">
        <v>-5.9070511504170198E-2</v>
      </c>
      <c r="AI93">
        <v>-7.6726007479738678E-2</v>
      </c>
      <c r="AJ93" s="2">
        <v>0</v>
      </c>
      <c r="AK93">
        <v>-3.5526929620253722E-2</v>
      </c>
      <c r="AL93">
        <v>-5.3182425595822203E-2</v>
      </c>
      <c r="AM93" s="2">
        <v>0</v>
      </c>
      <c r="AN93">
        <v>-3.2705645702069686E-2</v>
      </c>
      <c r="AO93" s="2">
        <v>0</v>
      </c>
      <c r="AP93" s="2">
        <v>0</v>
      </c>
      <c r="AQ93" s="2">
        <v>0</v>
      </c>
      <c r="AR93" s="2">
        <v>0</v>
      </c>
      <c r="AS93">
        <v>3.3205161779197856E-3</v>
      </c>
      <c r="AT93" s="2">
        <v>0</v>
      </c>
      <c r="AU93">
        <v>2.4319364811664999</v>
      </c>
      <c r="AV93" s="5">
        <v>29.77796223</v>
      </c>
      <c r="AW93" s="6">
        <v>37.5</v>
      </c>
      <c r="AX93" s="6">
        <f t="shared" si="3"/>
        <v>3.6243409329763652</v>
      </c>
      <c r="AY93" s="5">
        <f t="shared" si="5"/>
        <v>6.0905789325165216</v>
      </c>
      <c r="AZ93" s="5">
        <f t="shared" si="4"/>
        <v>1.2627545404834786</v>
      </c>
      <c r="BA93" s="5">
        <f>$C93-AY94</f>
        <v>1.0039938104839488</v>
      </c>
      <c r="BB93">
        <v>0.53918200000000005</v>
      </c>
      <c r="BC93">
        <v>0</v>
      </c>
      <c r="BD93">
        <v>8.3733329770000005</v>
      </c>
      <c r="BE93" s="5">
        <f>BD93-AY93</f>
        <v>2.2827540444834789</v>
      </c>
      <c r="BF93" s="5">
        <f>BD93-AY94</f>
        <v>2.023993314483949</v>
      </c>
    </row>
    <row r="94" spans="1:58" x14ac:dyDescent="0.25">
      <c r="A94" t="s">
        <v>104</v>
      </c>
      <c r="B94">
        <v>0</v>
      </c>
      <c r="C94">
        <v>7.2100000380000004</v>
      </c>
      <c r="D94">
        <v>0</v>
      </c>
      <c r="E94">
        <v>0.286000013</v>
      </c>
      <c r="F94">
        <v>3.9599556591834486</v>
      </c>
      <c r="G94">
        <v>3.516904189374126</v>
      </c>
      <c r="H94">
        <v>3.5413460648956008</v>
      </c>
      <c r="I94">
        <v>3.1361896262492466</v>
      </c>
      <c r="J94">
        <v>5.0639485469932719</v>
      </c>
      <c r="K94">
        <v>-0.36784786011915238</v>
      </c>
      <c r="L94">
        <v>93</v>
      </c>
      <c r="M94">
        <v>8649</v>
      </c>
      <c r="N94">
        <v>-4.9776007964161271E-3</v>
      </c>
      <c r="O94" s="4">
        <v>3.740831281620947</v>
      </c>
      <c r="P94" s="4">
        <v>3.4346966302025592</v>
      </c>
      <c r="Q94" s="4">
        <v>2.6847133357377722</v>
      </c>
      <c r="R94">
        <v>-3.4001371448642119E-3</v>
      </c>
      <c r="S94" s="5">
        <v>-1.7</v>
      </c>
      <c r="T94" s="5">
        <v>-3.1190000000000002</v>
      </c>
      <c r="U94">
        <f t="shared" si="6"/>
        <v>-1.7000000000000001E-2</v>
      </c>
      <c r="V94">
        <f t="shared" si="7"/>
        <v>-3.1190000000000002E-2</v>
      </c>
      <c r="W94" s="1">
        <v>8027826991635140</v>
      </c>
      <c r="X94" s="2">
        <v>6.853077807</v>
      </c>
      <c r="Y94" s="2">
        <v>6.89055617</v>
      </c>
      <c r="Z94" s="2">
        <v>8.4559133549999999</v>
      </c>
      <c r="AA94" s="2">
        <v>0</v>
      </c>
      <c r="AB94">
        <v>-2.2697142864042341E-2</v>
      </c>
      <c r="AC94">
        <v>-1.6455741602576235E-2</v>
      </c>
      <c r="AD94">
        <v>-2.1439799254477698E-2</v>
      </c>
      <c r="AE94" s="2">
        <v>0</v>
      </c>
      <c r="AF94" s="2">
        <v>0</v>
      </c>
      <c r="AG94">
        <v>-3.9152884466618576E-2</v>
      </c>
      <c r="AH94">
        <v>-6.0592683721096274E-2</v>
      </c>
      <c r="AI94" s="2">
        <v>0</v>
      </c>
      <c r="AJ94" s="2">
        <v>0</v>
      </c>
      <c r="AK94">
        <v>-3.7895540857053933E-2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>
        <v>-5.1898951549842476E-3</v>
      </c>
      <c r="AR94" s="2">
        <v>0</v>
      </c>
      <c r="AS94">
        <v>-1.869378977064462E-3</v>
      </c>
      <c r="AT94" s="2">
        <v>0</v>
      </c>
      <c r="AU94">
        <v>2.4521246267691499</v>
      </c>
      <c r="AV94" s="5">
        <v>30.198931120000001</v>
      </c>
      <c r="AW94" s="6">
        <v>38.1</v>
      </c>
      <c r="AX94" s="6">
        <f t="shared" si="3"/>
        <v>3.6402142821326553</v>
      </c>
      <c r="AY94" s="5">
        <f t="shared" si="5"/>
        <v>6.3493396625160514</v>
      </c>
      <c r="AZ94" s="5">
        <f t="shared" si="4"/>
        <v>0.86066037548394903</v>
      </c>
      <c r="BA94" s="5">
        <f>$C94-AY95</f>
        <v>1.6495282200236581</v>
      </c>
      <c r="BB94">
        <v>0.41065299999999999</v>
      </c>
      <c r="BC94">
        <v>0</v>
      </c>
      <c r="BD94">
        <v>8.7566661830000001</v>
      </c>
      <c r="BE94" s="5">
        <f>BD94-AY94</f>
        <v>2.4073265204839487</v>
      </c>
      <c r="BF94" s="5">
        <f>BD94-AY95</f>
        <v>3.1961943650236577</v>
      </c>
    </row>
    <row r="95" spans="1:58" x14ac:dyDescent="0.25">
      <c r="A95" t="s">
        <v>105</v>
      </c>
      <c r="B95">
        <v>0</v>
      </c>
      <c r="C95">
        <v>6.6766667369999997</v>
      </c>
      <c r="D95">
        <v>0</v>
      </c>
      <c r="E95">
        <v>0.286000013</v>
      </c>
      <c r="F95">
        <v>3.9469460352173757</v>
      </c>
      <c r="G95">
        <v>3.5187137150899943</v>
      </c>
      <c r="H95">
        <v>3.5447166682544755</v>
      </c>
      <c r="I95">
        <v>3.1137375067448958</v>
      </c>
      <c r="J95">
        <v>5.0568125237140071</v>
      </c>
      <c r="K95">
        <v>-0.36738653456567033</v>
      </c>
      <c r="L95">
        <v>94</v>
      </c>
      <c r="M95">
        <v>8836</v>
      </c>
      <c r="N95">
        <v>-2.9495624815652345E-3</v>
      </c>
      <c r="O95" s="4">
        <v>3.7402139976507289</v>
      </c>
      <c r="P95" s="4">
        <v>3.4409628182215712</v>
      </c>
      <c r="Q95" s="4">
        <v>2.6961800285317228</v>
      </c>
      <c r="R95">
        <v>-2.5695955777917251E-2</v>
      </c>
      <c r="S95" s="5">
        <v>-2.7829999999999999</v>
      </c>
      <c r="T95" s="5">
        <v>-6.7910000000000004</v>
      </c>
      <c r="U95">
        <f t="shared" si="6"/>
        <v>-2.7830000000000001E-2</v>
      </c>
      <c r="V95">
        <f t="shared" si="7"/>
        <v>-6.7909999999999998E-2</v>
      </c>
      <c r="W95" s="1">
        <v>803234683182415</v>
      </c>
      <c r="X95" s="2">
        <v>6.8416011770000003</v>
      </c>
      <c r="Y95" s="2">
        <v>6.8444194039999999</v>
      </c>
      <c r="Z95" s="2">
        <v>8.4576767050000008</v>
      </c>
      <c r="AA95" s="2">
        <v>0</v>
      </c>
      <c r="AB95">
        <v>-1.9693254151587736E-2</v>
      </c>
      <c r="AC95">
        <v>-2.283264884336822E-2</v>
      </c>
      <c r="AD95">
        <v>-1.8844739692450041E-2</v>
      </c>
      <c r="AE95">
        <v>-1.8004172202324087E-2</v>
      </c>
      <c r="AF95" s="2">
        <v>0</v>
      </c>
      <c r="AG95">
        <v>-4.2525902994955955E-2</v>
      </c>
      <c r="AH95">
        <v>-6.1370642687405996E-2</v>
      </c>
      <c r="AI95">
        <v>-7.9374814889730083E-2</v>
      </c>
      <c r="AJ95" s="2">
        <v>0</v>
      </c>
      <c r="AK95">
        <v>-4.1677388535818261E-2</v>
      </c>
      <c r="AL95">
        <v>-5.9681560738142347E-2</v>
      </c>
      <c r="AM95" s="2">
        <v>0</v>
      </c>
      <c r="AN95">
        <v>-3.6848911894774128E-2</v>
      </c>
      <c r="AO95" s="2">
        <v>0</v>
      </c>
      <c r="AP95" s="2">
        <v>0</v>
      </c>
      <c r="AQ95" s="2">
        <v>0</v>
      </c>
      <c r="AR95" s="2">
        <v>0</v>
      </c>
      <c r="AS95">
        <v>-1.869378977064462E-3</v>
      </c>
      <c r="AT95" s="2">
        <v>0</v>
      </c>
      <c r="AU95">
        <v>2.4268542980274801</v>
      </c>
      <c r="AV95" s="5">
        <v>30.618535309999999</v>
      </c>
      <c r="AW95" s="6">
        <v>38.633333333333333</v>
      </c>
      <c r="AX95" s="6">
        <f t="shared" si="3"/>
        <v>3.6541154616775962</v>
      </c>
      <c r="AY95" s="5">
        <f t="shared" si="5"/>
        <v>5.5604718179763424</v>
      </c>
      <c r="AZ95" s="5">
        <f t="shared" si="4"/>
        <v>1.1161949190236573</v>
      </c>
      <c r="BA95" s="5">
        <f>$C95-AY96</f>
        <v>2.5564586338137705</v>
      </c>
      <c r="BB95">
        <v>0.25840800000000003</v>
      </c>
      <c r="BC95">
        <v>0</v>
      </c>
      <c r="BD95">
        <v>8.9766664509999998</v>
      </c>
      <c r="BE95" s="5">
        <f>BD95-AY95</f>
        <v>3.4161946330236574</v>
      </c>
      <c r="BF95" s="5">
        <f>BD95-AY96</f>
        <v>4.8564583478137706</v>
      </c>
    </row>
    <row r="96" spans="1:58" x14ac:dyDescent="0.25">
      <c r="A96" t="s">
        <v>106</v>
      </c>
      <c r="B96">
        <v>0</v>
      </c>
      <c r="C96">
        <v>6.3266663550000004</v>
      </c>
      <c r="D96">
        <v>0</v>
      </c>
      <c r="E96">
        <v>0.286000013</v>
      </c>
      <c r="F96">
        <v>3.9512629491657494</v>
      </c>
      <c r="G96">
        <v>3.527565680476962</v>
      </c>
      <c r="H96">
        <v>3.5543800874393718</v>
      </c>
      <c r="I96">
        <v>3.1313552273387053</v>
      </c>
      <c r="J96">
        <v>5.0482842598810125</v>
      </c>
      <c r="K96">
        <v>-0.35511036927397815</v>
      </c>
      <c r="L96">
        <v>95</v>
      </c>
      <c r="M96">
        <v>9025</v>
      </c>
      <c r="N96">
        <v>0</v>
      </c>
      <c r="O96" s="4">
        <v>3.7473606038640082</v>
      </c>
      <c r="P96" s="4">
        <v>3.4522073025699003</v>
      </c>
      <c r="Q96" s="4">
        <v>2.6998836117691498</v>
      </c>
      <c r="R96">
        <v>4.0149375984783083E-3</v>
      </c>
      <c r="S96" s="5">
        <v>0.68300000000000005</v>
      </c>
      <c r="T96" s="5">
        <v>0.45400000000000001</v>
      </c>
      <c r="U96">
        <f t="shared" si="6"/>
        <v>6.8300000000000001E-3</v>
      </c>
      <c r="V96">
        <f t="shared" si="7"/>
        <v>4.5399999999999998E-3</v>
      </c>
      <c r="W96" s="1">
        <v>8041075549629140</v>
      </c>
      <c r="X96" s="2">
        <v>6.8552684959999999</v>
      </c>
      <c r="Y96" s="2">
        <v>6.8277416820000001</v>
      </c>
      <c r="Z96" s="2">
        <v>8.4664891969999996</v>
      </c>
      <c r="AA96" s="2">
        <v>0</v>
      </c>
      <c r="AB96">
        <v>-2.2370179145014712E-2</v>
      </c>
      <c r="AC96">
        <v>-1.84714309338182E-2</v>
      </c>
      <c r="AD96">
        <v>-1.790442260499514E-2</v>
      </c>
      <c r="AE96">
        <v>-1.2003920179705418E-2</v>
      </c>
      <c r="AF96" s="2">
        <v>0</v>
      </c>
      <c r="AG96">
        <v>-4.0841610078832913E-2</v>
      </c>
      <c r="AH96">
        <v>-5.8746032683828053E-2</v>
      </c>
      <c r="AI96">
        <v>-7.0749952863533472E-2</v>
      </c>
      <c r="AJ96" s="2">
        <v>0</v>
      </c>
      <c r="AK96">
        <v>-3.6375853538813341E-2</v>
      </c>
      <c r="AL96">
        <v>-4.8379773718518759E-2</v>
      </c>
      <c r="AM96" s="2">
        <v>0</v>
      </c>
      <c r="AN96">
        <v>-2.9908342784700559E-2</v>
      </c>
      <c r="AO96" s="2">
        <v>0</v>
      </c>
      <c r="AP96" s="2">
        <v>0</v>
      </c>
      <c r="AQ96">
        <v>4.7305835596078705E-4</v>
      </c>
      <c r="AR96" s="2">
        <v>0</v>
      </c>
      <c r="AS96">
        <v>-1.3963206211036749E-3</v>
      </c>
      <c r="AT96" s="2">
        <v>0</v>
      </c>
      <c r="AU96">
        <v>2.4547018543259602</v>
      </c>
      <c r="AV96" s="5">
        <v>30.859845480000001</v>
      </c>
      <c r="AW96" s="6">
        <v>39.033333333333331</v>
      </c>
      <c r="AX96" s="6">
        <f t="shared" si="3"/>
        <v>3.6644159819355617</v>
      </c>
      <c r="AY96" s="5">
        <f t="shared" si="5"/>
        <v>4.1202081031862292</v>
      </c>
      <c r="AZ96" s="5">
        <f t="shared" si="4"/>
        <v>2.2064582518137712</v>
      </c>
      <c r="BA96" s="5">
        <f>$C96-AY97</f>
        <v>0.56141182505081844</v>
      </c>
      <c r="BB96">
        <v>0.39485900000000002</v>
      </c>
      <c r="BC96">
        <v>-1.640294447102824E-3</v>
      </c>
      <c r="BD96">
        <v>9.4099998469999999</v>
      </c>
      <c r="BE96" s="5">
        <f>BD96-AY96</f>
        <v>5.2897917438137707</v>
      </c>
      <c r="BF96" s="5">
        <f>BD96-AY97</f>
        <v>3.6447453170508179</v>
      </c>
    </row>
    <row r="97" spans="1:58" x14ac:dyDescent="0.25">
      <c r="A97" t="s">
        <v>107</v>
      </c>
      <c r="B97">
        <v>0</v>
      </c>
      <c r="C97">
        <v>5.3533334730000002</v>
      </c>
      <c r="D97">
        <v>0</v>
      </c>
      <c r="E97">
        <v>0.286000013</v>
      </c>
      <c r="F97">
        <v>3.951282179380263</v>
      </c>
      <c r="G97">
        <v>3.516904189374126</v>
      </c>
      <c r="H97">
        <v>3.5621487043227846</v>
      </c>
      <c r="I97">
        <v>3.1323152553405249</v>
      </c>
      <c r="J97">
        <v>5.0433154334848842</v>
      </c>
      <c r="K97">
        <v>-0.35463331133206472</v>
      </c>
      <c r="L97">
        <v>96</v>
      </c>
      <c r="M97">
        <v>9216</v>
      </c>
      <c r="N97">
        <v>0</v>
      </c>
      <c r="O97" s="4">
        <v>3.7589883692590842</v>
      </c>
      <c r="P97" s="4">
        <v>3.4572626055951043</v>
      </c>
      <c r="Q97" s="4">
        <v>2.631097159934082</v>
      </c>
      <c r="R97">
        <v>1.4747826688389098E-2</v>
      </c>
      <c r="S97" s="5">
        <v>-3.2000000000000001E-2</v>
      </c>
      <c r="T97" s="5">
        <v>-0.252</v>
      </c>
      <c r="U97">
        <f t="shared" si="6"/>
        <v>-3.2000000000000003E-4</v>
      </c>
      <c r="V97">
        <f t="shared" si="7"/>
        <v>-2.5200000000000001E-3</v>
      </c>
      <c r="W97" s="1">
        <v>8038357070302460</v>
      </c>
      <c r="X97" s="2">
        <v>6.8576929189999998</v>
      </c>
      <c r="Y97" s="2">
        <v>6.7993877620000003</v>
      </c>
      <c r="Z97" s="2">
        <v>8.4561472309999992</v>
      </c>
      <c r="AA97" s="2">
        <v>0</v>
      </c>
      <c r="AB97">
        <v>-1.4666074217267733E-2</v>
      </c>
      <c r="AC97">
        <v>-1.3416863870341356E-2</v>
      </c>
      <c r="AD97">
        <v>-6.9047964470383416E-3</v>
      </c>
      <c r="AE97">
        <v>-5.1436387733237998E-3</v>
      </c>
      <c r="AF97" s="2">
        <v>0</v>
      </c>
      <c r="AG97">
        <v>-2.8082938087609088E-2</v>
      </c>
      <c r="AH97">
        <v>-3.498773453464743E-2</v>
      </c>
      <c r="AI97">
        <v>-4.013137330797123E-2</v>
      </c>
      <c r="AJ97" s="2">
        <v>0</v>
      </c>
      <c r="AK97">
        <v>-2.0321660317379697E-2</v>
      </c>
      <c r="AL97">
        <v>-2.5465299090703497E-2</v>
      </c>
      <c r="AM97" s="2">
        <v>0</v>
      </c>
      <c r="AN97">
        <v>-1.2048435220362141E-2</v>
      </c>
      <c r="AO97" s="2">
        <v>0</v>
      </c>
      <c r="AP97" s="2">
        <v>0</v>
      </c>
      <c r="AQ97">
        <v>9.5866824673208617E-3</v>
      </c>
      <c r="AR97" s="2">
        <v>0</v>
      </c>
      <c r="AS97">
        <v>8.1903618462171868E-3</v>
      </c>
      <c r="AT97" s="2">
        <v>0</v>
      </c>
      <c r="AU97">
        <v>2.49321377441415</v>
      </c>
      <c r="AV97" s="5">
        <v>31.255938239999999</v>
      </c>
      <c r="AW97" s="6">
        <v>39.6</v>
      </c>
      <c r="AX97" s="6">
        <f t="shared" si="3"/>
        <v>3.6788291182604347</v>
      </c>
      <c r="AY97" s="5">
        <f t="shared" si="5"/>
        <v>5.765254529949182</v>
      </c>
      <c r="AZ97" s="5">
        <f t="shared" si="4"/>
        <v>-0.4119210569491818</v>
      </c>
      <c r="BA97" s="5">
        <f>$C97-AY98</f>
        <v>2.0004219718781977</v>
      </c>
      <c r="BB97">
        <v>0.33630599999999999</v>
      </c>
      <c r="BC97">
        <v>2.5044870764344782E-3</v>
      </c>
      <c r="BD97">
        <v>9.2766666410000003</v>
      </c>
      <c r="BE97" s="5">
        <f>BD97-AY97</f>
        <v>3.5114121110508183</v>
      </c>
      <c r="BF97" s="5">
        <f>BD97-AY98</f>
        <v>5.9237551398781978</v>
      </c>
    </row>
    <row r="98" spans="1:58" x14ac:dyDescent="0.25">
      <c r="A98" t="s">
        <v>108</v>
      </c>
      <c r="B98">
        <v>0</v>
      </c>
      <c r="C98">
        <v>3.8400001530000001</v>
      </c>
      <c r="D98">
        <v>-0.2</v>
      </c>
      <c r="E98">
        <v>0.277999997</v>
      </c>
      <c r="F98">
        <v>3.934957976710642</v>
      </c>
      <c r="G98">
        <v>3.5441137638464157</v>
      </c>
      <c r="H98">
        <v>3.5677025252744921</v>
      </c>
      <c r="I98">
        <v>3.1544439647088121</v>
      </c>
      <c r="J98">
        <v>5.0457514411855335</v>
      </c>
      <c r="K98">
        <v>-0.34680302625482617</v>
      </c>
      <c r="L98">
        <v>97</v>
      </c>
      <c r="M98">
        <v>9409</v>
      </c>
      <c r="N98">
        <v>0</v>
      </c>
      <c r="O98" s="4">
        <v>3.7630588522881876</v>
      </c>
      <c r="P98" s="4">
        <v>3.4640782797013565</v>
      </c>
      <c r="Q98" s="4">
        <v>2.7330029424577864</v>
      </c>
      <c r="R98">
        <v>-3.3479397520401619E-2</v>
      </c>
      <c r="S98" s="5">
        <v>2.8210000000000002</v>
      </c>
      <c r="T98" s="5">
        <v>-4.5199999999999996</v>
      </c>
      <c r="U98">
        <f t="shared" si="6"/>
        <v>2.8210000000000002E-2</v>
      </c>
      <c r="V98">
        <f t="shared" si="7"/>
        <v>-4.5199999999999997E-2</v>
      </c>
      <c r="W98" s="1">
        <v>8057370519892590</v>
      </c>
      <c r="X98" s="2">
        <v>6.8533248220000003</v>
      </c>
      <c r="Y98" s="2">
        <v>6.8121479159999998</v>
      </c>
      <c r="Z98" s="2">
        <v>8.4825810419999996</v>
      </c>
      <c r="AA98" s="2">
        <v>0</v>
      </c>
      <c r="AB98">
        <v>-1.362065506973853E-2</v>
      </c>
      <c r="AC98">
        <v>-2.0598617494846927E-3</v>
      </c>
      <c r="AD98">
        <v>-3.5921325722072517E-3</v>
      </c>
      <c r="AE98">
        <v>1.0845005970548938E-3</v>
      </c>
      <c r="AF98" s="2">
        <v>0</v>
      </c>
      <c r="AG98">
        <v>-1.5680516819223222E-2</v>
      </c>
      <c r="AH98">
        <v>-1.9272649391430474E-2</v>
      </c>
      <c r="AI98">
        <v>-1.818814879437558E-2</v>
      </c>
      <c r="AJ98" s="2">
        <v>0</v>
      </c>
      <c r="AK98">
        <v>-5.6519943216919444E-3</v>
      </c>
      <c r="AL98">
        <v>-4.5674937246370506E-3</v>
      </c>
      <c r="AM98" s="2">
        <v>0</v>
      </c>
      <c r="AN98">
        <v>-2.5076319751523579E-3</v>
      </c>
      <c r="AO98" s="2">
        <v>0</v>
      </c>
      <c r="AP98" s="2">
        <v>0</v>
      </c>
      <c r="AQ98">
        <v>6.3964408986701971E-3</v>
      </c>
      <c r="AR98" s="2">
        <v>0</v>
      </c>
      <c r="AS98">
        <v>1.4586802744887384E-2</v>
      </c>
      <c r="AT98" s="2">
        <v>0</v>
      </c>
      <c r="AU98">
        <v>2.5076409365191998</v>
      </c>
      <c r="AV98" s="5">
        <v>31.728741079999999</v>
      </c>
      <c r="AW98" s="6">
        <v>39.93333333333333</v>
      </c>
      <c r="AX98" s="6">
        <f t="shared" si="3"/>
        <v>3.6872113970132392</v>
      </c>
      <c r="AY98" s="5">
        <f t="shared" si="5"/>
        <v>3.3529115011218025</v>
      </c>
      <c r="AZ98" s="5">
        <f t="shared" si="4"/>
        <v>0.48708865187819761</v>
      </c>
      <c r="BA98" s="5">
        <f>$C98-AY99</f>
        <v>0.18397137724083201</v>
      </c>
      <c r="BB98">
        <v>0.54111799999999999</v>
      </c>
      <c r="BC98">
        <v>4.8987985430342523E-3</v>
      </c>
      <c r="BD98">
        <v>8.5299997330000004</v>
      </c>
      <c r="BE98" s="5">
        <f>BD98-AY98</f>
        <v>5.1770882318781979</v>
      </c>
      <c r="BF98" s="5">
        <f>BD98-AY99</f>
        <v>4.8739709572408323</v>
      </c>
    </row>
    <row r="99" spans="1:58" x14ac:dyDescent="0.25">
      <c r="A99" t="s">
        <v>109</v>
      </c>
      <c r="B99">
        <v>0</v>
      </c>
      <c r="C99">
        <v>4.25</v>
      </c>
      <c r="D99">
        <v>0</v>
      </c>
      <c r="E99">
        <v>0.277999997</v>
      </c>
      <c r="F99">
        <v>3.9317471982758758</v>
      </c>
      <c r="G99">
        <v>3.54976105462063</v>
      </c>
      <c r="H99">
        <v>3.5745550122458818</v>
      </c>
      <c r="I99">
        <v>3.1949928844048685</v>
      </c>
      <c r="J99">
        <v>5.0486758239275984</v>
      </c>
      <c r="K99">
        <v>-0.34687993810066114</v>
      </c>
      <c r="L99">
        <v>98</v>
      </c>
      <c r="M99">
        <v>9604</v>
      </c>
      <c r="N99">
        <v>0</v>
      </c>
      <c r="O99" s="4">
        <v>3.7653311062742674</v>
      </c>
      <c r="P99" s="4">
        <v>3.474076027074728</v>
      </c>
      <c r="Q99" s="4">
        <v>2.7555061422585054</v>
      </c>
      <c r="R99">
        <v>-2.5437322837759624E-2</v>
      </c>
      <c r="S99" s="5">
        <v>-1.4219999999999999</v>
      </c>
      <c r="T99" s="5">
        <v>0.26400000000000001</v>
      </c>
      <c r="U99">
        <f t="shared" si="6"/>
        <v>-1.422E-2</v>
      </c>
      <c r="V99">
        <f t="shared" si="7"/>
        <v>2.64E-3</v>
      </c>
      <c r="W99" s="1">
        <v>8066519293355210</v>
      </c>
      <c r="X99" s="2">
        <v>6.8571409279999997</v>
      </c>
      <c r="Y99" s="2">
        <v>6.7906319049999997</v>
      </c>
      <c r="Z99" s="2">
        <v>8.4882585939999995</v>
      </c>
      <c r="AA99" s="2">
        <v>0</v>
      </c>
      <c r="AB99">
        <v>-3.9306122884630312E-3</v>
      </c>
      <c r="AC99">
        <v>-3.2106585674148702E-3</v>
      </c>
      <c r="AD99">
        <v>2.7028169536150726E-3</v>
      </c>
      <c r="AE99">
        <v>-2.6783663326643836E-3</v>
      </c>
      <c r="AF99" s="2">
        <v>0</v>
      </c>
      <c r="AG99">
        <v>-7.1412708558779014E-3</v>
      </c>
      <c r="AH99">
        <v>-4.4384539022628289E-3</v>
      </c>
      <c r="AI99">
        <v>-7.1168202349272125E-3</v>
      </c>
      <c r="AJ99" s="2">
        <v>0</v>
      </c>
      <c r="AK99">
        <v>-5.0784161379979764E-4</v>
      </c>
      <c r="AL99">
        <v>-3.1862079464641813E-3</v>
      </c>
      <c r="AM99" s="2">
        <v>0</v>
      </c>
      <c r="AN99">
        <v>2.445062095068895E-5</v>
      </c>
      <c r="AO99" s="2">
        <v>0</v>
      </c>
      <c r="AP99" s="2">
        <v>0</v>
      </c>
      <c r="AQ99">
        <v>1.9997903613525603E-3</v>
      </c>
      <c r="AR99" s="2">
        <v>0</v>
      </c>
      <c r="AS99">
        <v>1.6586593106239944E-2</v>
      </c>
      <c r="AT99" s="2">
        <v>0</v>
      </c>
      <c r="AU99">
        <v>2.4764777465791599</v>
      </c>
      <c r="AV99" s="5">
        <v>32.144806780000003</v>
      </c>
      <c r="AW99" s="6">
        <v>40.299999999999997</v>
      </c>
      <c r="AX99" s="6">
        <f t="shared" si="3"/>
        <v>3.6963514689526371</v>
      </c>
      <c r="AY99" s="5">
        <f t="shared" si="5"/>
        <v>3.6560287757591681</v>
      </c>
      <c r="AZ99" s="5">
        <f t="shared" si="4"/>
        <v>0.59397122424083193</v>
      </c>
      <c r="BA99" s="5">
        <f>$C99-AY100</f>
        <v>0.29935060163501959</v>
      </c>
      <c r="BB99">
        <v>0.52152100000000001</v>
      </c>
      <c r="BC99">
        <v>4.1777996898779528E-3</v>
      </c>
      <c r="BD99">
        <v>8.6066665649999994</v>
      </c>
      <c r="BE99" s="5">
        <f>BD99-AY99</f>
        <v>4.9506377892408313</v>
      </c>
      <c r="BF99" s="5">
        <f>BD99-AY100</f>
        <v>4.656017166635019</v>
      </c>
    </row>
    <row r="100" spans="1:58" x14ac:dyDescent="0.25">
      <c r="A100" t="s">
        <v>110</v>
      </c>
      <c r="B100">
        <v>0</v>
      </c>
      <c r="C100">
        <v>5.0100002290000001</v>
      </c>
      <c r="D100">
        <v>0</v>
      </c>
      <c r="E100">
        <v>0.277999997</v>
      </c>
      <c r="F100">
        <v>3.9311195011191344</v>
      </c>
      <c r="G100">
        <v>3.5577166826615962</v>
      </c>
      <c r="H100">
        <v>3.5794075279010666</v>
      </c>
      <c r="I100">
        <v>3.2137426727564526</v>
      </c>
      <c r="J100">
        <v>5.0475584982008419</v>
      </c>
      <c r="K100">
        <v>-0.33833456552002777</v>
      </c>
      <c r="L100">
        <v>99</v>
      </c>
      <c r="M100">
        <v>9801</v>
      </c>
      <c r="N100">
        <v>0</v>
      </c>
      <c r="O100" s="4">
        <v>3.7632909516277468</v>
      </c>
      <c r="P100" s="4">
        <v>3.4834837243493801</v>
      </c>
      <c r="Q100" s="4">
        <v>2.7817962029906944</v>
      </c>
      <c r="R100">
        <v>-1.6294869159802296E-2</v>
      </c>
      <c r="S100" s="5">
        <v>7.4029999999999996</v>
      </c>
      <c r="T100" s="5">
        <v>0.40100000000000002</v>
      </c>
      <c r="U100">
        <f t="shared" si="6"/>
        <v>7.4029999999999999E-2</v>
      </c>
      <c r="V100">
        <f t="shared" si="7"/>
        <v>4.0100000000000005E-3</v>
      </c>
      <c r="W100" s="1">
        <v>8074460389769810</v>
      </c>
      <c r="X100" s="2">
        <v>6.8614505140000004</v>
      </c>
      <c r="Y100" s="2">
        <v>6.7982432819999996</v>
      </c>
      <c r="Z100" s="2">
        <v>8.4960308399999995</v>
      </c>
      <c r="AA100" s="2">
        <v>0</v>
      </c>
      <c r="AB100">
        <v>2.6404682326397477E-4</v>
      </c>
      <c r="AC100">
        <v>-4.4142976615535456E-4</v>
      </c>
      <c r="AD100">
        <v>1.1837791346444027E-3</v>
      </c>
      <c r="AE100">
        <v>1.9764960115886687E-4</v>
      </c>
      <c r="AF100" s="2">
        <v>0</v>
      </c>
      <c r="AG100">
        <v>-1.7738294289137979E-4</v>
      </c>
      <c r="AH100">
        <v>1.0063961917530229E-3</v>
      </c>
      <c r="AI100">
        <v>1.2040457929118897E-3</v>
      </c>
      <c r="AJ100" s="2">
        <v>0</v>
      </c>
      <c r="AK100">
        <v>7.4234936848904809E-4</v>
      </c>
      <c r="AL100">
        <v>9.3999896964791496E-4</v>
      </c>
      <c r="AM100" s="2">
        <v>0</v>
      </c>
      <c r="AN100">
        <v>1.3814287358032695E-3</v>
      </c>
      <c r="AO100" s="2">
        <v>0</v>
      </c>
      <c r="AP100" s="2">
        <v>0</v>
      </c>
      <c r="AQ100">
        <v>7.1789874753835914E-4</v>
      </c>
      <c r="AR100" s="2">
        <v>0</v>
      </c>
      <c r="AS100">
        <v>1.7304491853778303E-2</v>
      </c>
      <c r="AT100" s="2">
        <v>0</v>
      </c>
      <c r="AU100">
        <v>2.5218801034776699</v>
      </c>
      <c r="AV100" s="5">
        <v>32.468717040000001</v>
      </c>
      <c r="AW100" s="6">
        <v>40.700000000000003</v>
      </c>
      <c r="AX100" s="6">
        <f t="shared" si="3"/>
        <v>3.7062280924485496</v>
      </c>
      <c r="AY100" s="5">
        <f t="shared" si="5"/>
        <v>3.9506493983649804</v>
      </c>
      <c r="AZ100" s="5">
        <f t="shared" si="4"/>
        <v>1.0593508306350197</v>
      </c>
      <c r="BA100" s="5">
        <f>$C100-AY101</f>
        <v>2.0724105266966442</v>
      </c>
      <c r="BB100">
        <v>0.40348699999999998</v>
      </c>
      <c r="BC100">
        <v>-5.7620637311325221E-5</v>
      </c>
      <c r="BD100">
        <v>8.7033338550000003</v>
      </c>
      <c r="BE100" s="5">
        <f>BD100-AY100</f>
        <v>4.7526844566350199</v>
      </c>
      <c r="BF100" s="5">
        <f>BD100-AY101</f>
        <v>5.7657441526966444</v>
      </c>
    </row>
    <row r="101" spans="1:58" x14ac:dyDescent="0.25">
      <c r="A101" t="s">
        <v>111</v>
      </c>
      <c r="B101">
        <v>0</v>
      </c>
      <c r="C101">
        <v>4.2300000190000002</v>
      </c>
      <c r="D101">
        <v>0</v>
      </c>
      <c r="E101">
        <v>0.277999997</v>
      </c>
      <c r="F101">
        <v>3.9236353207563122</v>
      </c>
      <c r="G101">
        <v>3.560506164147037</v>
      </c>
      <c r="H101">
        <v>3.5915573688093443</v>
      </c>
      <c r="I101">
        <v>3.2406764548270535</v>
      </c>
      <c r="J101">
        <v>5.0528706892950135</v>
      </c>
      <c r="K101">
        <v>-0.33610909291008367</v>
      </c>
      <c r="L101">
        <v>100</v>
      </c>
      <c r="M101">
        <v>10000</v>
      </c>
      <c r="N101">
        <v>0</v>
      </c>
      <c r="O101" s="4">
        <v>3.7700676593007647</v>
      </c>
      <c r="P101" s="4">
        <v>3.4991102321848242</v>
      </c>
      <c r="Q101" s="4">
        <v>2.8236382369154724</v>
      </c>
      <c r="R101">
        <v>-2.9221319653307855E-2</v>
      </c>
      <c r="S101" s="5">
        <v>7.16</v>
      </c>
      <c r="T101" s="5">
        <v>2.9510000000000001</v>
      </c>
      <c r="U101">
        <f t="shared" si="6"/>
        <v>7.1599999999999997E-2</v>
      </c>
      <c r="V101">
        <f t="shared" si="7"/>
        <v>2.9510000000000002E-2</v>
      </c>
      <c r="W101" s="1">
        <v>8090916721410170</v>
      </c>
      <c r="X101" s="2">
        <v>6.861368444</v>
      </c>
      <c r="Y101" s="2">
        <v>6.8128152179999999</v>
      </c>
      <c r="Z101" s="2">
        <v>8.4989273829999998</v>
      </c>
      <c r="AA101" s="2">
        <v>0</v>
      </c>
      <c r="AB101">
        <v>6.2368211438507126E-3</v>
      </c>
      <c r="AC101">
        <v>-1.3915530118945307E-3</v>
      </c>
      <c r="AD101">
        <v>2.4379027358014671E-3</v>
      </c>
      <c r="AE101">
        <v>-1.4509833334357403E-3</v>
      </c>
      <c r="AF101" s="2">
        <v>0</v>
      </c>
      <c r="AG101">
        <v>4.8452681319561819E-3</v>
      </c>
      <c r="AH101">
        <v>7.283170867757649E-3</v>
      </c>
      <c r="AI101">
        <v>5.8321875343219087E-3</v>
      </c>
      <c r="AJ101" s="2">
        <v>0</v>
      </c>
      <c r="AK101">
        <v>1.0463497239069364E-3</v>
      </c>
      <c r="AL101">
        <v>-4.0463360952880389E-4</v>
      </c>
      <c r="AM101" s="2">
        <v>0</v>
      </c>
      <c r="AN101">
        <v>9.8691940236572684E-4</v>
      </c>
      <c r="AO101" s="2">
        <v>0</v>
      </c>
      <c r="AP101" s="2">
        <v>0</v>
      </c>
      <c r="AQ101">
        <v>-3.3507901189633316E-4</v>
      </c>
      <c r="AR101" s="2">
        <v>0</v>
      </c>
      <c r="AS101">
        <v>1.696941284188197E-2</v>
      </c>
      <c r="AT101" s="2">
        <v>0</v>
      </c>
      <c r="AU101">
        <v>2.55155069919206</v>
      </c>
      <c r="AV101" s="5">
        <v>32.727892900000001</v>
      </c>
      <c r="AW101" s="6">
        <v>41</v>
      </c>
      <c r="AX101" s="6">
        <f t="shared" si="3"/>
        <v>3.713572066704308</v>
      </c>
      <c r="AY101" s="5">
        <f t="shared" si="5"/>
        <v>2.9375897023033559</v>
      </c>
      <c r="AZ101" s="5">
        <f t="shared" si="4"/>
        <v>1.2924103166966443</v>
      </c>
      <c r="BA101" s="5">
        <f>$C101-AY102</f>
        <v>0.99111592595235543</v>
      </c>
      <c r="BB101">
        <v>0.431898</v>
      </c>
      <c r="BC101">
        <v>1.3789913669684455E-4</v>
      </c>
      <c r="BD101">
        <v>8.413332939</v>
      </c>
      <c r="BE101" s="5">
        <f>BD101-AY101</f>
        <v>5.4757432366966441</v>
      </c>
      <c r="BF101" s="5">
        <f>BD101-AY102</f>
        <v>5.1744488459523552</v>
      </c>
    </row>
    <row r="102" spans="1:58" x14ac:dyDescent="0.25">
      <c r="A102" t="s">
        <v>112</v>
      </c>
      <c r="B102">
        <v>0</v>
      </c>
      <c r="C102">
        <v>3.436666727</v>
      </c>
      <c r="D102">
        <v>-9</v>
      </c>
      <c r="E102">
        <v>0.289000005</v>
      </c>
      <c r="F102">
        <v>3.9272662348408396</v>
      </c>
      <c r="G102">
        <v>3.5782271840103412</v>
      </c>
      <c r="H102">
        <v>3.6029872903895948</v>
      </c>
      <c r="I102">
        <v>3.2846635654062037</v>
      </c>
      <c r="J102">
        <v>5.0679351794101253</v>
      </c>
      <c r="K102">
        <v>-0.32587246837700767</v>
      </c>
      <c r="L102">
        <v>101</v>
      </c>
      <c r="M102">
        <v>10201</v>
      </c>
      <c r="N102">
        <v>0</v>
      </c>
      <c r="O102" s="4">
        <v>3.7733584606918753</v>
      </c>
      <c r="P102" s="4">
        <v>3.5160724896885673</v>
      </c>
      <c r="Q102" s="4">
        <v>2.8462456998536094</v>
      </c>
      <c r="R102">
        <v>-2.0766021318505724E-2</v>
      </c>
      <c r="S102" s="5">
        <v>4.4790000000000001</v>
      </c>
      <c r="T102" s="5">
        <v>1.8360000000000001</v>
      </c>
      <c r="U102">
        <f t="shared" si="6"/>
        <v>4.4790000000000003E-2</v>
      </c>
      <c r="V102">
        <f t="shared" si="7"/>
        <v>1.8360000000000001E-2</v>
      </c>
      <c r="W102" s="1">
        <v>8104028618354550</v>
      </c>
      <c r="X102" s="2">
        <v>6.8856008539999998</v>
      </c>
      <c r="Y102" s="2">
        <v>6.8876691069999998</v>
      </c>
      <c r="Z102" s="2">
        <v>8.5165930109999994</v>
      </c>
      <c r="AA102" s="2">
        <v>0</v>
      </c>
      <c r="AB102">
        <v>2.2264527449991078E-3</v>
      </c>
      <c r="AC102">
        <v>1.4749977482390042E-3</v>
      </c>
      <c r="AD102">
        <v>2.1841394285906368E-3</v>
      </c>
      <c r="AE102">
        <v>1.316467330780946E-3</v>
      </c>
      <c r="AF102" s="2">
        <v>0</v>
      </c>
      <c r="AG102">
        <v>3.701450493238112E-3</v>
      </c>
      <c r="AH102">
        <v>5.8855899218287488E-3</v>
      </c>
      <c r="AI102">
        <v>7.2020572526096949E-3</v>
      </c>
      <c r="AJ102" s="2">
        <v>0</v>
      </c>
      <c r="AK102">
        <v>3.659137176829641E-3</v>
      </c>
      <c r="AL102">
        <v>4.975604507610587E-3</v>
      </c>
      <c r="AM102" s="2">
        <v>0</v>
      </c>
      <c r="AN102">
        <v>3.5006067593715828E-3</v>
      </c>
      <c r="AO102" s="2">
        <v>0</v>
      </c>
      <c r="AP102" s="2">
        <v>0</v>
      </c>
      <c r="AQ102">
        <v>2.6722177744639142E-3</v>
      </c>
      <c r="AR102" s="2">
        <v>0</v>
      </c>
      <c r="AS102">
        <v>1.9641630616345884E-2</v>
      </c>
      <c r="AT102" s="2">
        <v>0</v>
      </c>
      <c r="AU102">
        <v>2.5350212221180599</v>
      </c>
      <c r="AV102" s="5">
        <v>33.23373359</v>
      </c>
      <c r="AW102" s="6">
        <v>41.333333333333336</v>
      </c>
      <c r="AX102" s="6">
        <f t="shared" si="3"/>
        <v>3.7216692769369271</v>
      </c>
      <c r="AY102" s="5">
        <f t="shared" si="5"/>
        <v>3.2388840930476448</v>
      </c>
      <c r="AZ102" s="5">
        <f t="shared" si="4"/>
        <v>0.19778263395235518</v>
      </c>
      <c r="BA102" s="5">
        <f>$C102-AY103</f>
        <v>0.86431059488369533</v>
      </c>
      <c r="BB102">
        <v>0.54876800000000003</v>
      </c>
      <c r="BC102">
        <v>-1.7512380065391288E-3</v>
      </c>
      <c r="BD102">
        <v>8.2333326339999999</v>
      </c>
      <c r="BE102" s="5">
        <f>BD102-AY102</f>
        <v>4.9944485409523551</v>
      </c>
      <c r="BF102" s="5">
        <f>BD102-AY103</f>
        <v>5.6609765018836953</v>
      </c>
    </row>
    <row r="103" spans="1:58" x14ac:dyDescent="0.25">
      <c r="A103" t="s">
        <v>113</v>
      </c>
      <c r="B103">
        <v>0</v>
      </c>
      <c r="C103">
        <v>3.7699999809999998</v>
      </c>
      <c r="D103">
        <v>0</v>
      </c>
      <c r="E103">
        <v>0.289000005</v>
      </c>
      <c r="F103">
        <v>3.9334517608414399</v>
      </c>
      <c r="G103">
        <v>3.601658964352664</v>
      </c>
      <c r="H103">
        <v>3.6209138964558156</v>
      </c>
      <c r="I103">
        <v>3.3021134234382563</v>
      </c>
      <c r="J103">
        <v>5.072087808409222</v>
      </c>
      <c r="K103">
        <v>-0.31756112526831781</v>
      </c>
      <c r="L103">
        <v>102</v>
      </c>
      <c r="M103">
        <v>10404</v>
      </c>
      <c r="N103">
        <v>0</v>
      </c>
      <c r="O103" s="4">
        <v>3.8000406134614328</v>
      </c>
      <c r="P103" s="4">
        <v>3.5282117512148115</v>
      </c>
      <c r="Q103" s="4">
        <v>2.8710756689544352</v>
      </c>
      <c r="R103">
        <v>1.3391182937013272E-2</v>
      </c>
      <c r="S103" s="5">
        <v>6.9850000000000003</v>
      </c>
      <c r="T103" s="5">
        <v>-1.532</v>
      </c>
      <c r="U103">
        <f t="shared" si="6"/>
        <v>6.9850000000000009E-2</v>
      </c>
      <c r="V103">
        <f t="shared" si="7"/>
        <v>-1.532E-2</v>
      </c>
      <c r="W103" s="1">
        <v>812288639712723</v>
      </c>
      <c r="X103" s="2">
        <v>6.8975593660000003</v>
      </c>
      <c r="Y103" s="2">
        <v>6.9092837779999998</v>
      </c>
      <c r="Z103" s="2">
        <v>8.5394829189999992</v>
      </c>
      <c r="AA103" s="2">
        <v>0</v>
      </c>
      <c r="AB103">
        <v>-5.9094842510154511E-4</v>
      </c>
      <c r="AC103">
        <v>-5.2662794459392703E-3</v>
      </c>
      <c r="AD103">
        <v>-5.8907393065843472E-4</v>
      </c>
      <c r="AE103">
        <v>-4.3813017079257222E-3</v>
      </c>
      <c r="AF103" s="2">
        <v>0</v>
      </c>
      <c r="AG103">
        <v>-5.8572278710408154E-3</v>
      </c>
      <c r="AH103">
        <v>-6.4463018016992502E-3</v>
      </c>
      <c r="AI103">
        <v>-1.0827603509624972E-2</v>
      </c>
      <c r="AJ103" s="2">
        <v>0</v>
      </c>
      <c r="AK103">
        <v>-5.8553533765977051E-3</v>
      </c>
      <c r="AL103">
        <v>-1.0236655084523427E-2</v>
      </c>
      <c r="AM103" s="2">
        <v>0</v>
      </c>
      <c r="AN103">
        <v>-4.9703756385841569E-3</v>
      </c>
      <c r="AO103" s="2">
        <v>0</v>
      </c>
      <c r="AP103" s="2">
        <v>0</v>
      </c>
      <c r="AQ103">
        <v>-9.3559601359692879E-3</v>
      </c>
      <c r="AR103" s="2">
        <v>0</v>
      </c>
      <c r="AS103">
        <v>1.0285670480376596E-2</v>
      </c>
      <c r="AT103" s="2">
        <v>0</v>
      </c>
      <c r="AU103">
        <v>2.53048975292982</v>
      </c>
      <c r="AV103" s="5">
        <v>33.432444969999999</v>
      </c>
      <c r="AW103" s="6">
        <v>41.6</v>
      </c>
      <c r="AX103" s="6">
        <f t="shared" si="3"/>
        <v>3.7281001672672178</v>
      </c>
      <c r="AY103" s="5">
        <f t="shared" si="5"/>
        <v>2.5723561321163047</v>
      </c>
      <c r="AZ103" s="5">
        <f t="shared" si="4"/>
        <v>1.1976438488836951</v>
      </c>
      <c r="BA103" s="5">
        <f>$C103-AY104</f>
        <v>0.57764464859494957</v>
      </c>
      <c r="BB103">
        <v>0.43441299999999999</v>
      </c>
      <c r="BC103">
        <v>-1.5703170352501252E-3</v>
      </c>
      <c r="BD103">
        <v>8.2233333589999997</v>
      </c>
      <c r="BE103" s="5">
        <f>BD103-AY103</f>
        <v>5.6509772268836951</v>
      </c>
      <c r="BF103" s="5">
        <f>BD103-AY104</f>
        <v>5.0309780265949495</v>
      </c>
    </row>
    <row r="104" spans="1:58" x14ac:dyDescent="0.25">
      <c r="A104" t="s">
        <v>114</v>
      </c>
      <c r="B104">
        <v>0</v>
      </c>
      <c r="C104">
        <v>4.2199997900000001</v>
      </c>
      <c r="D104">
        <v>0</v>
      </c>
      <c r="E104">
        <v>0.289000005</v>
      </c>
      <c r="F104">
        <v>3.9126228255001139</v>
      </c>
      <c r="G104">
        <v>3.6111881463980646</v>
      </c>
      <c r="H104">
        <v>3.6345996189234784</v>
      </c>
      <c r="I104">
        <v>3.3130945001071823</v>
      </c>
      <c r="J104">
        <v>5.0783313250489073</v>
      </c>
      <c r="K104">
        <v>-0.31525555553146534</v>
      </c>
      <c r="L104">
        <v>103</v>
      </c>
      <c r="M104">
        <v>10609</v>
      </c>
      <c r="N104">
        <v>0</v>
      </c>
      <c r="O104" s="4">
        <v>3.8137263706030358</v>
      </c>
      <c r="P104" s="4">
        <v>3.5416836992953558</v>
      </c>
      <c r="Q104" s="4">
        <v>2.8964642718953222</v>
      </c>
      <c r="R104">
        <v>-7.271831341504971E-2</v>
      </c>
      <c r="S104" s="5">
        <v>7.2770000000000001</v>
      </c>
      <c r="T104" s="5">
        <v>-8.6579999999999995</v>
      </c>
      <c r="U104">
        <f t="shared" si="6"/>
        <v>7.2770000000000001E-2</v>
      </c>
      <c r="V104">
        <f t="shared" si="7"/>
        <v>-8.657999999999999E-2</v>
      </c>
      <c r="W104" s="1">
        <v>8138179733250550</v>
      </c>
      <c r="X104" s="2">
        <v>6.8747128489999998</v>
      </c>
      <c r="Y104" s="2">
        <v>6.9178734090000003</v>
      </c>
      <c r="Z104" s="2">
        <v>8.5486530980000008</v>
      </c>
      <c r="AA104" s="2">
        <v>0</v>
      </c>
      <c r="AB104">
        <v>-2.6899519533467586E-3</v>
      </c>
      <c r="AC104">
        <v>7.5377480514060569E-4</v>
      </c>
      <c r="AD104">
        <v>-4.7439915312086356E-3</v>
      </c>
      <c r="AE104">
        <v>-5.3961690597846834E-3</v>
      </c>
      <c r="AF104" s="2">
        <v>0</v>
      </c>
      <c r="AG104">
        <v>-1.9361771482061529E-3</v>
      </c>
      <c r="AH104">
        <v>-6.6801686794147885E-3</v>
      </c>
      <c r="AI104">
        <v>-1.2076337739199472E-2</v>
      </c>
      <c r="AJ104" s="2">
        <v>0</v>
      </c>
      <c r="AK104">
        <v>-3.9902167260680299E-3</v>
      </c>
      <c r="AL104">
        <v>-9.3863857858527133E-3</v>
      </c>
      <c r="AM104" s="2">
        <v>0</v>
      </c>
      <c r="AN104">
        <v>-1.0140160590993319E-2</v>
      </c>
      <c r="AO104" s="2">
        <v>0</v>
      </c>
      <c r="AP104" s="2">
        <v>0</v>
      </c>
      <c r="AQ104">
        <v>9.8015891251612697E-4</v>
      </c>
      <c r="AR104" s="2">
        <v>0</v>
      </c>
      <c r="AS104">
        <v>1.1265829392892723E-2</v>
      </c>
      <c r="AT104" s="2">
        <v>0</v>
      </c>
      <c r="AU104">
        <v>2.5324679429305101</v>
      </c>
      <c r="AV104" s="5">
        <v>33.755741690000001</v>
      </c>
      <c r="AW104" s="6">
        <v>41.93333333333333</v>
      </c>
      <c r="AX104" s="6">
        <f t="shared" si="3"/>
        <v>3.7360810555982304</v>
      </c>
      <c r="AY104" s="5">
        <f t="shared" si="5"/>
        <v>3.1923553324050502</v>
      </c>
      <c r="AZ104" s="5">
        <f t="shared" si="4"/>
        <v>1.0276444575949499</v>
      </c>
      <c r="BA104" s="5">
        <f>$C104-AY105</f>
        <v>0.10766621837267554</v>
      </c>
      <c r="BB104">
        <v>0.38750400000000002</v>
      </c>
      <c r="BC104">
        <v>-2.9070047564813302E-3</v>
      </c>
      <c r="BD104">
        <v>8.1700000760000009</v>
      </c>
      <c r="BE104" s="5">
        <f>BD104-AY104</f>
        <v>4.9776447435949507</v>
      </c>
      <c r="BF104" s="5">
        <f>BD104-AY105</f>
        <v>4.0576665043726763</v>
      </c>
    </row>
    <row r="105" spans="1:58" x14ac:dyDescent="0.25">
      <c r="A105" t="s">
        <v>115</v>
      </c>
      <c r="B105">
        <v>0</v>
      </c>
      <c r="C105">
        <v>4.8633332249999999</v>
      </c>
      <c r="D105">
        <v>0</v>
      </c>
      <c r="E105">
        <v>0.289000005</v>
      </c>
      <c r="F105">
        <v>3.9188794462246324</v>
      </c>
      <c r="G105">
        <v>3.6275358238728841</v>
      </c>
      <c r="H105">
        <v>3.6527007264675815</v>
      </c>
      <c r="I105">
        <v>3.358568199606196</v>
      </c>
      <c r="J105">
        <v>5.0852664626921795</v>
      </c>
      <c r="K105">
        <v>-0.30442026631595298</v>
      </c>
      <c r="L105">
        <v>104</v>
      </c>
      <c r="M105">
        <v>10816</v>
      </c>
      <c r="N105">
        <v>0</v>
      </c>
      <c r="O105" s="4">
        <v>3.8324385260853036</v>
      </c>
      <c r="P105" s="4">
        <v>3.5594254519094375</v>
      </c>
      <c r="Q105" s="4">
        <v>2.9480639798524897</v>
      </c>
      <c r="R105">
        <v>1.1616304204726659E-3</v>
      </c>
      <c r="S105" s="5">
        <v>7.4880000000000004</v>
      </c>
      <c r="T105" s="5">
        <v>-6.3609999999999998</v>
      </c>
      <c r="U105">
        <f t="shared" si="6"/>
        <v>7.4880000000000002E-2</v>
      </c>
      <c r="V105">
        <f t="shared" si="7"/>
        <v>-6.361E-2</v>
      </c>
      <c r="W105" s="1">
        <v>8161375308667040</v>
      </c>
      <c r="X105" s="2">
        <v>6.8893142510000001</v>
      </c>
      <c r="Y105" s="2">
        <v>6.9095650920000002</v>
      </c>
      <c r="Z105" s="2">
        <v>8.5651258450000007</v>
      </c>
      <c r="AA105" s="2">
        <v>0</v>
      </c>
      <c r="AB105">
        <v>4.3886155130034021E-3</v>
      </c>
      <c r="AC105">
        <v>-1.1617278365371186E-3</v>
      </c>
      <c r="AD105">
        <v>4.9007923782029561E-4</v>
      </c>
      <c r="AE105">
        <v>-3.3463881628725822E-5</v>
      </c>
      <c r="AF105" s="2">
        <v>0</v>
      </c>
      <c r="AG105">
        <v>3.2268876764662835E-3</v>
      </c>
      <c r="AH105">
        <v>3.7169669142865791E-3</v>
      </c>
      <c r="AI105">
        <v>3.6835030326578533E-3</v>
      </c>
      <c r="AJ105" s="2">
        <v>0</v>
      </c>
      <c r="AK105">
        <v>-6.7164859871682303E-4</v>
      </c>
      <c r="AL105">
        <v>-7.0511248034554885E-4</v>
      </c>
      <c r="AM105" s="2">
        <v>0</v>
      </c>
      <c r="AN105">
        <v>4.5661535619156979E-4</v>
      </c>
      <c r="AO105" s="2">
        <v>0</v>
      </c>
      <c r="AP105" s="2">
        <v>0</v>
      </c>
      <c r="AQ105">
        <v>9.468511992276496E-3</v>
      </c>
      <c r="AR105" s="2">
        <v>0</v>
      </c>
      <c r="AS105">
        <v>2.0734341385169219E-2</v>
      </c>
      <c r="AT105" s="2">
        <v>0</v>
      </c>
      <c r="AU105">
        <v>2.55432489335527</v>
      </c>
      <c r="AV105" s="5">
        <v>34.199893670000002</v>
      </c>
      <c r="AW105" s="6">
        <v>42.366666666666667</v>
      </c>
      <c r="AX105" s="6">
        <f t="shared" si="3"/>
        <v>3.7463618895272988</v>
      </c>
      <c r="AY105" s="5">
        <f t="shared" si="5"/>
        <v>4.1123335716273246</v>
      </c>
      <c r="AZ105" s="5">
        <f t="shared" si="4"/>
        <v>0.75099965337267527</v>
      </c>
      <c r="BA105" s="5">
        <f>$C105-AY106</f>
        <v>-1.3819146378753029</v>
      </c>
      <c r="BB105">
        <v>0.33151599999999998</v>
      </c>
      <c r="BC105">
        <v>-4.3871204166781343E-3</v>
      </c>
      <c r="BD105">
        <v>7.9933333400000004</v>
      </c>
      <c r="BE105" s="5">
        <f>BD105-AY105</f>
        <v>3.8809997683726758</v>
      </c>
      <c r="BF105" s="5">
        <f>BD105-AY106</f>
        <v>1.7480854771246976</v>
      </c>
    </row>
    <row r="106" spans="1:58" x14ac:dyDescent="0.25">
      <c r="A106" t="s">
        <v>116</v>
      </c>
      <c r="B106">
        <v>0</v>
      </c>
      <c r="C106">
        <v>5.6999998090000004</v>
      </c>
      <c r="D106">
        <v>0</v>
      </c>
      <c r="E106">
        <v>0.30500000700000002</v>
      </c>
      <c r="F106">
        <v>3.9286637765762711</v>
      </c>
      <c r="G106">
        <v>3.6527858464656977</v>
      </c>
      <c r="H106">
        <v>3.6628912155438407</v>
      </c>
      <c r="I106">
        <v>3.3999299120951902</v>
      </c>
      <c r="J106">
        <v>5.0965683120879834</v>
      </c>
      <c r="K106">
        <v>-0.2852226800224254</v>
      </c>
      <c r="L106">
        <v>105</v>
      </c>
      <c r="M106">
        <v>11025</v>
      </c>
      <c r="N106">
        <v>0</v>
      </c>
      <c r="O106" s="4">
        <v>3.8384410487501772</v>
      </c>
      <c r="P106" s="4">
        <v>3.5722332719946155</v>
      </c>
      <c r="Q106" s="4">
        <v>3.0097830967766508</v>
      </c>
      <c r="R106">
        <v>1.4843699248789925E-2</v>
      </c>
      <c r="S106" s="5">
        <v>6.3979999999999997</v>
      </c>
      <c r="T106" s="5">
        <v>-5.2709999999999999</v>
      </c>
      <c r="U106">
        <f t="shared" si="6"/>
        <v>6.3979999999999995E-2</v>
      </c>
      <c r="V106">
        <f t="shared" si="7"/>
        <v>-5.271E-2</v>
      </c>
      <c r="W106" s="1">
        <v>8179468130338090</v>
      </c>
      <c r="X106" s="2">
        <v>6.9050656909999999</v>
      </c>
      <c r="Y106" s="2">
        <v>6.9615950580000003</v>
      </c>
      <c r="Z106" s="2">
        <v>8.589458037</v>
      </c>
      <c r="AA106" s="2">
        <v>0</v>
      </c>
      <c r="AB106">
        <v>-1.919375784410926E-3</v>
      </c>
      <c r="AC106">
        <v>5.2308259149780323E-4</v>
      </c>
      <c r="AD106">
        <v>1.8585252714564682E-4</v>
      </c>
      <c r="AE106">
        <v>3.4697441211771762E-3</v>
      </c>
      <c r="AF106" s="2">
        <v>0</v>
      </c>
      <c r="AG106">
        <v>-1.3962931929131228E-3</v>
      </c>
      <c r="AH106">
        <v>-1.210440665767476E-3</v>
      </c>
      <c r="AI106">
        <v>2.2593034554097002E-3</v>
      </c>
      <c r="AJ106" s="2">
        <v>0</v>
      </c>
      <c r="AK106">
        <v>7.0893511864345005E-4</v>
      </c>
      <c r="AL106">
        <v>4.1786792398206263E-3</v>
      </c>
      <c r="AM106" s="2">
        <v>0</v>
      </c>
      <c r="AN106">
        <v>3.6555966483228231E-3</v>
      </c>
      <c r="AO106" s="2">
        <v>0</v>
      </c>
      <c r="AP106" s="2">
        <v>0</v>
      </c>
      <c r="AQ106">
        <v>2.5231976245188026E-4</v>
      </c>
      <c r="AR106" s="2">
        <v>0</v>
      </c>
      <c r="AS106">
        <v>2.09866611476211E-2</v>
      </c>
      <c r="AT106" s="2">
        <v>0</v>
      </c>
      <c r="AU106">
        <v>2.5502711139438201</v>
      </c>
      <c r="AV106" s="5">
        <v>34.604219579999999</v>
      </c>
      <c r="AW106" s="6">
        <v>43.033333333333331</v>
      </c>
      <c r="AX106" s="6">
        <f t="shared" si="3"/>
        <v>3.761975009184487</v>
      </c>
      <c r="AY106" s="5">
        <f t="shared" si="5"/>
        <v>6.2452478628753028</v>
      </c>
      <c r="AZ106" s="5">
        <f t="shared" si="4"/>
        <v>-0.5452480538753024</v>
      </c>
      <c r="BA106" s="5">
        <f>$C106-AY107</f>
        <v>-2.5793298773240325</v>
      </c>
      <c r="BB106">
        <v>0.36493100000000001</v>
      </c>
      <c r="BC106">
        <v>-9.1811350351560575E-4</v>
      </c>
      <c r="BD106">
        <v>7.966666698</v>
      </c>
      <c r="BE106" s="5">
        <f>BD106-AY106</f>
        <v>1.7214188351246973</v>
      </c>
      <c r="BF106" s="5">
        <f>BD106-AY107</f>
        <v>-0.31266298832403283</v>
      </c>
    </row>
    <row r="107" spans="1:58" x14ac:dyDescent="0.25">
      <c r="A107" t="s">
        <v>117</v>
      </c>
      <c r="B107">
        <v>0</v>
      </c>
      <c r="C107">
        <v>6.6033334730000002</v>
      </c>
      <c r="D107">
        <v>0</v>
      </c>
      <c r="E107">
        <v>0.30500000700000002</v>
      </c>
      <c r="F107">
        <v>3.9226859535963992</v>
      </c>
      <c r="G107">
        <v>3.6643049595473562</v>
      </c>
      <c r="H107">
        <v>3.6645604937818641</v>
      </c>
      <c r="I107">
        <v>3.4085701359915683</v>
      </c>
      <c r="J107">
        <v>5.1059939575737134</v>
      </c>
      <c r="K107">
        <v>-0.28522490762173319</v>
      </c>
      <c r="L107">
        <v>106</v>
      </c>
      <c r="M107">
        <v>11236</v>
      </c>
      <c r="N107">
        <v>0</v>
      </c>
      <c r="O107" s="4">
        <v>3.8299666049688472</v>
      </c>
      <c r="P107" s="4">
        <v>3.5805701506070848</v>
      </c>
      <c r="Q107" s="4">
        <v>2.9979298570974784</v>
      </c>
      <c r="R107">
        <v>-1.6174820659606497E-2</v>
      </c>
      <c r="S107" s="5">
        <v>4.8250000000000002</v>
      </c>
      <c r="T107" s="5">
        <v>-3.4329999999999998</v>
      </c>
      <c r="U107">
        <f t="shared" si="6"/>
        <v>4.8250000000000001E-2</v>
      </c>
      <c r="V107">
        <f t="shared" si="7"/>
        <v>-3.4329999999999999E-2</v>
      </c>
      <c r="W107" s="1">
        <v>8179017224270050</v>
      </c>
      <c r="X107" s="2">
        <v>6.9000570120000004</v>
      </c>
      <c r="Y107" s="2">
        <v>6.9614995549999996</v>
      </c>
      <c r="Z107" s="2">
        <v>8.6007251890000003</v>
      </c>
      <c r="AA107" s="2">
        <v>0</v>
      </c>
      <c r="AB107">
        <v>5.0721277102239171E-4</v>
      </c>
      <c r="AC107">
        <v>-8.5658462785398459E-4</v>
      </c>
      <c r="AD107">
        <v>7.2160465876082158E-3</v>
      </c>
      <c r="AE107">
        <v>-1.7524369473909118E-3</v>
      </c>
      <c r="AF107" s="2">
        <v>0</v>
      </c>
      <c r="AG107">
        <v>-3.4937185683159289E-4</v>
      </c>
      <c r="AH107">
        <v>6.8666747307766229E-3</v>
      </c>
      <c r="AI107">
        <v>5.1142377833857111E-3</v>
      </c>
      <c r="AJ107" s="2">
        <v>0</v>
      </c>
      <c r="AK107">
        <v>6.3594619597542312E-3</v>
      </c>
      <c r="AL107">
        <v>4.6070250123633194E-3</v>
      </c>
      <c r="AM107" s="2">
        <v>0</v>
      </c>
      <c r="AN107">
        <v>5.463609640217304E-3</v>
      </c>
      <c r="AO107" s="2">
        <v>0</v>
      </c>
      <c r="AP107" s="2">
        <v>0</v>
      </c>
      <c r="AQ107">
        <v>2.7038653114314082E-3</v>
      </c>
      <c r="AR107" s="2">
        <v>0</v>
      </c>
      <c r="AS107">
        <v>2.3690526459052508E-2</v>
      </c>
      <c r="AT107" s="2">
        <v>0</v>
      </c>
      <c r="AU107">
        <v>2.5299162563979198</v>
      </c>
      <c r="AV107" s="5">
        <v>35.140536519999998</v>
      </c>
      <c r="AW107" s="6">
        <v>43.93333333333333</v>
      </c>
      <c r="AX107" s="6">
        <f t="shared" si="3"/>
        <v>3.7826733334002971</v>
      </c>
      <c r="AY107" s="5">
        <f t="shared" si="5"/>
        <v>8.2793296863240329</v>
      </c>
      <c r="AZ107" s="5">
        <f t="shared" si="4"/>
        <v>-1.6759962133240327</v>
      </c>
      <c r="BA107" s="5">
        <f>$C107-AY108</f>
        <v>-1.2105889352569568</v>
      </c>
      <c r="BB107">
        <v>0.15698300000000001</v>
      </c>
      <c r="BC107">
        <v>1.582572351972637E-3</v>
      </c>
      <c r="BD107">
        <v>8.0933332440000001</v>
      </c>
      <c r="BE107" s="5">
        <f>BD107-AY107</f>
        <v>-0.18599644232403278</v>
      </c>
      <c r="BF107" s="5">
        <f>BD107-AY108</f>
        <v>0.27941083574304315</v>
      </c>
    </row>
    <row r="108" spans="1:58" x14ac:dyDescent="0.25">
      <c r="A108" t="s">
        <v>118</v>
      </c>
      <c r="B108">
        <v>0</v>
      </c>
      <c r="C108">
        <v>8.3233337400000007</v>
      </c>
      <c r="D108">
        <v>0</v>
      </c>
      <c r="E108">
        <v>0.30500000700000002</v>
      </c>
      <c r="F108">
        <v>3.9097604477738872</v>
      </c>
      <c r="G108">
        <v>3.6589355777408641</v>
      </c>
      <c r="H108">
        <v>3.6704196365201276</v>
      </c>
      <c r="I108">
        <v>3.4056541023790965</v>
      </c>
      <c r="J108">
        <v>5.1118793487422414</v>
      </c>
      <c r="K108">
        <v>-0.28547178601389295</v>
      </c>
      <c r="L108">
        <v>107</v>
      </c>
      <c r="M108">
        <v>11449</v>
      </c>
      <c r="N108">
        <v>-3.6456434560699965E-3</v>
      </c>
      <c r="O108" s="4">
        <v>3.8346234681666425</v>
      </c>
      <c r="P108" s="4">
        <v>3.5872342503517354</v>
      </c>
      <c r="Q108" s="4">
        <v>2.9890097277931642</v>
      </c>
      <c r="R108">
        <v>-6.1653077722352907E-2</v>
      </c>
      <c r="S108" s="5">
        <v>3.7810000000000001</v>
      </c>
      <c r="T108" s="5">
        <v>-3.2290000000000001</v>
      </c>
      <c r="U108">
        <f t="shared" si="6"/>
        <v>3.7810000000000003E-2</v>
      </c>
      <c r="V108">
        <f t="shared" si="7"/>
        <v>-3.2289999999999999E-2</v>
      </c>
      <c r="W108" s="1">
        <v>8182530756116200</v>
      </c>
      <c r="X108" s="2">
        <v>6.8803688459999996</v>
      </c>
      <c r="Y108" s="2">
        <v>6.9602330620000004</v>
      </c>
      <c r="Z108" s="2">
        <v>8.5952832249999993</v>
      </c>
      <c r="AA108" s="2">
        <v>0</v>
      </c>
      <c r="AB108">
        <v>5.0858914621720874E-3</v>
      </c>
      <c r="AC108">
        <v>-4.1686116136898654E-3</v>
      </c>
      <c r="AD108">
        <v>-5.5601666469162758E-3</v>
      </c>
      <c r="AE108">
        <v>-3.3351239134939981E-3</v>
      </c>
      <c r="AF108" s="2">
        <v>0</v>
      </c>
      <c r="AG108">
        <v>9.1727984848222199E-4</v>
      </c>
      <c r="AH108">
        <v>-4.6428867984340538E-3</v>
      </c>
      <c r="AI108">
        <v>-7.9780107119280519E-3</v>
      </c>
      <c r="AJ108" s="2">
        <v>0</v>
      </c>
      <c r="AK108">
        <v>-9.7287782606061413E-3</v>
      </c>
      <c r="AL108">
        <v>-1.3063902174100139E-2</v>
      </c>
      <c r="AM108" s="2">
        <v>0</v>
      </c>
      <c r="AN108">
        <v>-8.8952905604102739E-3</v>
      </c>
      <c r="AO108" s="2">
        <v>0</v>
      </c>
      <c r="AP108" s="2">
        <v>0</v>
      </c>
      <c r="AQ108">
        <v>-1.5192387900823445E-2</v>
      </c>
      <c r="AR108" s="2">
        <v>0</v>
      </c>
      <c r="AS108">
        <v>8.4981385582290625E-3</v>
      </c>
      <c r="AT108" s="2">
        <v>0</v>
      </c>
      <c r="AU108">
        <v>2.5243790031581601</v>
      </c>
      <c r="AV108" s="5">
        <v>35.824317360000002</v>
      </c>
      <c r="AW108" s="6">
        <v>44.8</v>
      </c>
      <c r="AX108" s="6">
        <f t="shared" si="3"/>
        <v>3.8022081394209395</v>
      </c>
      <c r="AY108" s="5">
        <f t="shared" si="5"/>
        <v>7.8139224082569569</v>
      </c>
      <c r="AZ108" s="5">
        <f t="shared" si="4"/>
        <v>0.50941133174304376</v>
      </c>
      <c r="BA108" s="5">
        <f>$C108-AY109</f>
        <v>-1.6698384562036583</v>
      </c>
      <c r="BB108">
        <v>0.20166400000000001</v>
      </c>
      <c r="BC108">
        <v>-3.4910861852446816E-3</v>
      </c>
      <c r="BD108">
        <v>8.4666662220000006</v>
      </c>
      <c r="BE108" s="5">
        <f>BD108-AY108</f>
        <v>0.65274381374304369</v>
      </c>
      <c r="BF108" s="5">
        <f>BD108-AY109</f>
        <v>-1.5265059742036584</v>
      </c>
    </row>
    <row r="109" spans="1:58" x14ac:dyDescent="0.25">
      <c r="A109" t="s">
        <v>119</v>
      </c>
      <c r="B109">
        <v>0</v>
      </c>
      <c r="C109">
        <v>7.5</v>
      </c>
      <c r="D109">
        <v>0</v>
      </c>
      <c r="E109">
        <v>0.30500000700000002</v>
      </c>
      <c r="F109">
        <v>3.9170901457611644</v>
      </c>
      <c r="G109">
        <v>3.6684471285994418</v>
      </c>
      <c r="H109">
        <v>3.6712517263931286</v>
      </c>
      <c r="I109">
        <v>3.3955481212634564</v>
      </c>
      <c r="J109">
        <v>5.1150073213603671</v>
      </c>
      <c r="K109">
        <v>-0.28580989224285519</v>
      </c>
      <c r="L109">
        <v>108</v>
      </c>
      <c r="M109">
        <v>11664</v>
      </c>
      <c r="N109">
        <v>3.5953117135255628E-3</v>
      </c>
      <c r="O109" s="4">
        <v>3.8306827896882987</v>
      </c>
      <c r="P109" s="4">
        <v>3.5910185239100509</v>
      </c>
      <c r="Q109" s="4">
        <v>2.9653761535390917</v>
      </c>
      <c r="R109">
        <v>1.8208602449364024E-3</v>
      </c>
      <c r="S109" s="5">
        <v>3.012</v>
      </c>
      <c r="T109" s="5">
        <v>-3.5630000000000002</v>
      </c>
      <c r="U109">
        <f t="shared" si="6"/>
        <v>3.0120000000000001E-2</v>
      </c>
      <c r="V109">
        <f t="shared" si="7"/>
        <v>-3.5630000000000002E-2</v>
      </c>
      <c r="W109" s="1">
        <v>8179543822246270</v>
      </c>
      <c r="X109" s="2">
        <v>6.886616311</v>
      </c>
      <c r="Y109" s="2">
        <v>6.9704198350000004</v>
      </c>
      <c r="Z109" s="2">
        <v>8.6045628379999997</v>
      </c>
      <c r="AA109" s="2">
        <v>0</v>
      </c>
      <c r="AB109">
        <v>-1.306927533299751E-3</v>
      </c>
      <c r="AC109">
        <v>-3.0942327417080584E-3</v>
      </c>
      <c r="AD109">
        <v>-4.1828356087655338E-3</v>
      </c>
      <c r="AE109">
        <v>6.3082597040819977E-4</v>
      </c>
      <c r="AF109" s="2">
        <v>0</v>
      </c>
      <c r="AG109">
        <v>-4.4011602750078094E-3</v>
      </c>
      <c r="AH109">
        <v>-8.5839958837733432E-3</v>
      </c>
      <c r="AI109">
        <v>-7.9531699133651435E-3</v>
      </c>
      <c r="AJ109" s="2">
        <v>0</v>
      </c>
      <c r="AK109">
        <v>-7.2770683504735922E-3</v>
      </c>
      <c r="AL109">
        <v>-6.6462423800653925E-3</v>
      </c>
      <c r="AM109" s="2">
        <v>0</v>
      </c>
      <c r="AN109">
        <v>-3.5520096383573341E-3</v>
      </c>
      <c r="AO109" s="2">
        <v>0</v>
      </c>
      <c r="AP109" s="2">
        <v>0</v>
      </c>
      <c r="AQ109">
        <v>1.6182222099366816E-3</v>
      </c>
      <c r="AR109" s="2">
        <v>0</v>
      </c>
      <c r="AS109">
        <v>1.0116360768165744E-2</v>
      </c>
      <c r="AT109" s="2">
        <v>0</v>
      </c>
      <c r="AU109">
        <v>2.5218370701817499</v>
      </c>
      <c r="AV109" s="5">
        <v>36.533898090000001</v>
      </c>
      <c r="AW109" s="6">
        <v>45.93333333333333</v>
      </c>
      <c r="AX109" s="6">
        <f t="shared" si="3"/>
        <v>3.8271910699114486</v>
      </c>
      <c r="AY109" s="5">
        <f t="shared" si="5"/>
        <v>9.993172196203659</v>
      </c>
      <c r="AZ109" s="5">
        <f t="shared" si="4"/>
        <v>-2.493172196203659</v>
      </c>
      <c r="BA109" s="5">
        <f>$C109-AY110</f>
        <v>-4.2276902345754053</v>
      </c>
      <c r="BB109">
        <v>0.15476100000000001</v>
      </c>
      <c r="BC109">
        <v>5.7089190813642589E-4</v>
      </c>
      <c r="BD109">
        <v>8.4366664890000003</v>
      </c>
      <c r="BE109" s="5">
        <f>BD109-AY109</f>
        <v>-1.5565057072036588</v>
      </c>
      <c r="BF109" s="5">
        <f>BD109-AY110</f>
        <v>-3.291023745575405</v>
      </c>
    </row>
    <row r="110" spans="1:58" x14ac:dyDescent="0.25">
      <c r="A110" t="s">
        <v>120</v>
      </c>
      <c r="B110">
        <v>0</v>
      </c>
      <c r="C110">
        <v>7.6166667940000004</v>
      </c>
      <c r="D110">
        <v>0</v>
      </c>
      <c r="E110">
        <v>0.32499998800000002</v>
      </c>
      <c r="F110">
        <v>3.9377882133141724</v>
      </c>
      <c r="G110">
        <v>3.6596308537548126</v>
      </c>
      <c r="H110">
        <v>3.66502067968388</v>
      </c>
      <c r="I110">
        <v>3.3716312460603888</v>
      </c>
      <c r="J110">
        <v>5.1166875704324823</v>
      </c>
      <c r="K110">
        <v>-0.28796187790652089</v>
      </c>
      <c r="L110">
        <v>109</v>
      </c>
      <c r="M110">
        <v>11881</v>
      </c>
      <c r="N110">
        <v>0</v>
      </c>
      <c r="O110" s="4">
        <v>3.81718471426686</v>
      </c>
      <c r="P110" s="4">
        <v>3.5895010101336573</v>
      </c>
      <c r="Q110" s="4">
        <v>2.9416456076502251</v>
      </c>
      <c r="R110">
        <v>2.4116056670372043E-2</v>
      </c>
      <c r="S110" s="5">
        <v>4.569</v>
      </c>
      <c r="T110" s="5">
        <v>1.099</v>
      </c>
      <c r="U110">
        <f t="shared" si="6"/>
        <v>4.5690000000000001E-2</v>
      </c>
      <c r="V110">
        <f t="shared" si="7"/>
        <v>1.099E-2</v>
      </c>
      <c r="W110" s="1">
        <v>8170556834690560</v>
      </c>
      <c r="X110" s="2">
        <v>6.9084067210000004</v>
      </c>
      <c r="Y110" s="2">
        <v>6.9663888829999996</v>
      </c>
      <c r="Z110" s="2">
        <v>8.5962261590000004</v>
      </c>
      <c r="AA110" s="2">
        <v>0</v>
      </c>
      <c r="AB110">
        <v>-1.0202069719031925E-3</v>
      </c>
      <c r="AC110">
        <v>3.0273511628441385E-3</v>
      </c>
      <c r="AD110">
        <v>1.0922341368777455E-2</v>
      </c>
      <c r="AE110">
        <v>5.7780092118987492E-3</v>
      </c>
      <c r="AF110" s="2">
        <v>0</v>
      </c>
      <c r="AG110">
        <v>2.007144190940946E-3</v>
      </c>
      <c r="AH110">
        <v>1.2929485559718401E-2</v>
      </c>
      <c r="AI110">
        <v>1.870749477161715E-2</v>
      </c>
      <c r="AJ110" s="2">
        <v>0</v>
      </c>
      <c r="AK110">
        <v>1.3949692531621594E-2</v>
      </c>
      <c r="AL110">
        <v>1.9727701743520343E-2</v>
      </c>
      <c r="AM110" s="2">
        <v>0</v>
      </c>
      <c r="AN110">
        <v>1.6700350580676204E-2</v>
      </c>
      <c r="AO110" s="2">
        <v>0</v>
      </c>
      <c r="AP110" s="2">
        <v>0</v>
      </c>
      <c r="AQ110">
        <v>1.7501702169978928E-2</v>
      </c>
      <c r="AR110" s="2">
        <v>0</v>
      </c>
      <c r="AS110">
        <v>2.7618062938144672E-2</v>
      </c>
      <c r="AT110" s="2">
        <v>0</v>
      </c>
      <c r="AU110">
        <v>2.4988415809054301</v>
      </c>
      <c r="AV110" s="5">
        <v>37.235822589999998</v>
      </c>
      <c r="AW110" s="6">
        <v>47.3</v>
      </c>
      <c r="AX110" s="6">
        <f t="shared" si="3"/>
        <v>3.8565102954978872</v>
      </c>
      <c r="AY110" s="5">
        <f t="shared" si="5"/>
        <v>11.727690234575405</v>
      </c>
      <c r="AZ110" s="5">
        <f t="shared" si="4"/>
        <v>-4.1110234405754049</v>
      </c>
      <c r="BA110" s="5">
        <f>$C110-AY111</f>
        <v>-2.9541848200650129</v>
      </c>
      <c r="BB110">
        <v>0.33091500000000001</v>
      </c>
      <c r="BC110">
        <v>3.0898644939025893E-3</v>
      </c>
      <c r="BD110">
        <v>8.5433330539999996</v>
      </c>
      <c r="BE110" s="5">
        <f>BD110-AY110</f>
        <v>-3.1843571805754056</v>
      </c>
      <c r="BF110" s="5">
        <f>BD110-AY111</f>
        <v>-2.0275185600650136</v>
      </c>
    </row>
    <row r="111" spans="1:58" x14ac:dyDescent="0.25">
      <c r="A111" t="s">
        <v>121</v>
      </c>
      <c r="B111">
        <v>0</v>
      </c>
      <c r="C111">
        <v>8.1533336639999998</v>
      </c>
      <c r="D111">
        <v>0</v>
      </c>
      <c r="E111">
        <v>0.32499998800000002</v>
      </c>
      <c r="F111">
        <v>3.9445095564624451</v>
      </c>
      <c r="G111">
        <v>3.6621760712793865</v>
      </c>
      <c r="H111">
        <v>3.6680312451376942</v>
      </c>
      <c r="I111">
        <v>3.3571409954652354</v>
      </c>
      <c r="J111">
        <v>5.1125839961315291</v>
      </c>
      <c r="K111">
        <v>-0.28240881574655829</v>
      </c>
      <c r="L111">
        <v>110</v>
      </c>
      <c r="M111">
        <v>12100</v>
      </c>
      <c r="N111">
        <v>0</v>
      </c>
      <c r="O111" s="4">
        <v>3.8105217000960403</v>
      </c>
      <c r="P111" s="4">
        <v>3.5992282321612898</v>
      </c>
      <c r="Q111" s="4">
        <v>2.9470146067565608</v>
      </c>
      <c r="R111">
        <v>1.698221131143933E-2</v>
      </c>
      <c r="S111" s="5">
        <v>5.2009999999999996</v>
      </c>
      <c r="T111" s="5">
        <v>-7.375</v>
      </c>
      <c r="U111">
        <f t="shared" si="6"/>
        <v>5.2009999999999994E-2</v>
      </c>
      <c r="V111">
        <f t="shared" si="7"/>
        <v>-7.3749999999999996E-2</v>
      </c>
      <c r="W111" s="1">
        <v>817415089916879</v>
      </c>
      <c r="X111" s="2">
        <v>6.9165919640000002</v>
      </c>
      <c r="Y111" s="2">
        <v>6.9661662919999996</v>
      </c>
      <c r="Z111" s="2">
        <v>8.5988469080000005</v>
      </c>
      <c r="AA111" s="2">
        <v>0</v>
      </c>
      <c r="AB111">
        <v>-1.5181932605916604E-3</v>
      </c>
      <c r="AC111">
        <v>8.1294109676719462E-3</v>
      </c>
      <c r="AD111">
        <v>4.7907077818420962E-4</v>
      </c>
      <c r="AE111">
        <v>3.2560518955450091E-3</v>
      </c>
      <c r="AF111" s="2">
        <v>0</v>
      </c>
      <c r="AG111">
        <v>6.6112177070802858E-3</v>
      </c>
      <c r="AH111">
        <v>7.0902884852644954E-3</v>
      </c>
      <c r="AI111">
        <v>1.0346340380809504E-2</v>
      </c>
      <c r="AJ111" s="2">
        <v>0</v>
      </c>
      <c r="AK111">
        <v>8.6084817458561558E-3</v>
      </c>
      <c r="AL111">
        <v>1.1864533641401165E-2</v>
      </c>
      <c r="AM111" s="2">
        <v>0</v>
      </c>
      <c r="AN111">
        <v>3.7351226737292187E-3</v>
      </c>
      <c r="AO111" s="2">
        <v>0</v>
      </c>
      <c r="AP111" s="2">
        <v>0</v>
      </c>
      <c r="AQ111">
        <v>-8.0918688348200485E-3</v>
      </c>
      <c r="AR111" s="2">
        <v>0</v>
      </c>
      <c r="AS111">
        <v>1.9526194103324623E-2</v>
      </c>
      <c r="AT111" s="2">
        <v>0</v>
      </c>
      <c r="AU111">
        <v>2.4723803131662101</v>
      </c>
      <c r="AV111" s="5">
        <v>38.124582760000003</v>
      </c>
      <c r="AW111" s="6">
        <v>48.56666666666667</v>
      </c>
      <c r="AX111" s="6">
        <f t="shared" si="3"/>
        <v>3.8829374245330497</v>
      </c>
      <c r="AY111" s="5">
        <f t="shared" si="5"/>
        <v>10.570851614065013</v>
      </c>
      <c r="AZ111" s="5">
        <f t="shared" si="4"/>
        <v>-2.4175179500650135</v>
      </c>
      <c r="BA111" s="5">
        <f>$C111-AY112</f>
        <v>-2.947209488783793</v>
      </c>
      <c r="BB111">
        <v>0.37301400000000001</v>
      </c>
      <c r="BC111">
        <v>-1.9974866114985494E-4</v>
      </c>
      <c r="BD111">
        <v>9.0633335109999997</v>
      </c>
      <c r="BE111" s="5">
        <f>BD111-AY111</f>
        <v>-1.5075181030650135</v>
      </c>
      <c r="BF111" s="5">
        <f>BD111-AY112</f>
        <v>-2.037209641783793</v>
      </c>
    </row>
    <row r="112" spans="1:58" x14ac:dyDescent="0.25">
      <c r="A112" t="s">
        <v>122</v>
      </c>
      <c r="B112">
        <v>0</v>
      </c>
      <c r="C112">
        <v>8.1900005339999993</v>
      </c>
      <c r="D112">
        <v>0</v>
      </c>
      <c r="E112">
        <v>0.32499998800000002</v>
      </c>
      <c r="F112">
        <v>3.9459992209830772</v>
      </c>
      <c r="G112">
        <v>3.6522414030160331</v>
      </c>
      <c r="H112">
        <v>3.671841965111724</v>
      </c>
      <c r="I112">
        <v>3.3393928974150384</v>
      </c>
      <c r="J112">
        <v>5.1122106550861739</v>
      </c>
      <c r="K112">
        <v>-0.28321487097913961</v>
      </c>
      <c r="L112">
        <v>111</v>
      </c>
      <c r="M112">
        <v>12321</v>
      </c>
      <c r="N112">
        <v>0</v>
      </c>
      <c r="O112" s="4">
        <v>3.8126666508880112</v>
      </c>
      <c r="P112" s="4">
        <v>3.6041382256588457</v>
      </c>
      <c r="Q112" s="4">
        <v>2.9527725791138555</v>
      </c>
      <c r="R112">
        <v>-2.2598698027827342E-2</v>
      </c>
      <c r="S112" s="5">
        <v>4.3760000000000003</v>
      </c>
      <c r="T112" s="5">
        <v>-5.4690000000000003</v>
      </c>
      <c r="U112">
        <f t="shared" si="6"/>
        <v>4.376E-2</v>
      </c>
      <c r="V112">
        <f t="shared" si="7"/>
        <v>-5.4690000000000003E-2</v>
      </c>
      <c r="W112" s="1">
        <v>817843730926031</v>
      </c>
      <c r="X112" s="2">
        <v>6.918420588</v>
      </c>
      <c r="Y112" s="2">
        <v>6.9668706739999999</v>
      </c>
      <c r="Z112" s="2">
        <v>8.5891044670000003</v>
      </c>
      <c r="AA112" s="2">
        <v>0</v>
      </c>
      <c r="AB112">
        <v>4.5195203577336196E-3</v>
      </c>
      <c r="AC112">
        <v>6.2082132564900139E-4</v>
      </c>
      <c r="AD112">
        <v>-2.1970173042870078E-3</v>
      </c>
      <c r="AE112">
        <v>0</v>
      </c>
      <c r="AF112" s="2">
        <v>0</v>
      </c>
      <c r="AG112">
        <v>5.140341683382621E-3</v>
      </c>
      <c r="AH112">
        <v>2.9433243790956132E-3</v>
      </c>
      <c r="AI112">
        <v>0</v>
      </c>
      <c r="AJ112" s="2">
        <v>0</v>
      </c>
      <c r="AK112">
        <v>-1.5761959786380064E-3</v>
      </c>
      <c r="AL112">
        <v>0</v>
      </c>
      <c r="AM112" s="2">
        <v>0</v>
      </c>
      <c r="AN112">
        <v>0</v>
      </c>
      <c r="AO112" s="2">
        <v>0</v>
      </c>
      <c r="AP112" s="2">
        <v>0</v>
      </c>
      <c r="AQ112">
        <v>-5.3113186523672251E-3</v>
      </c>
      <c r="AR112" s="2">
        <v>0</v>
      </c>
      <c r="AS112">
        <v>1.4214875450957398E-2</v>
      </c>
      <c r="AT112" s="2">
        <v>0</v>
      </c>
      <c r="AU112">
        <v>2.4622419949031098</v>
      </c>
      <c r="AV112" s="5">
        <v>39.25468738</v>
      </c>
      <c r="AW112" s="6">
        <v>49.93333333333333</v>
      </c>
      <c r="AX112" s="6">
        <f t="shared" si="3"/>
        <v>3.9106887824150092</v>
      </c>
      <c r="AY112" s="5">
        <f t="shared" si="5"/>
        <v>11.100543152783793</v>
      </c>
      <c r="AZ112" s="5">
        <f t="shared" si="4"/>
        <v>-2.9105426187837935</v>
      </c>
      <c r="BA112" s="5">
        <f>$C112-AY113</f>
        <v>-3.9082260690228665</v>
      </c>
      <c r="BB112">
        <v>0.44533200000000001</v>
      </c>
      <c r="BC112">
        <v>2.1321152629256122E-4</v>
      </c>
      <c r="BD112">
        <v>9.8100004199999997</v>
      </c>
      <c r="BE112" s="5">
        <f>BD112-AY112</f>
        <v>-1.2905427327837931</v>
      </c>
      <c r="BF112" s="5">
        <f>BD112-AY113</f>
        <v>-2.2882261830228661</v>
      </c>
    </row>
    <row r="113" spans="1:58" x14ac:dyDescent="0.25">
      <c r="A113" t="s">
        <v>123</v>
      </c>
      <c r="B113">
        <v>0</v>
      </c>
      <c r="C113">
        <v>7.3600001339999999</v>
      </c>
      <c r="D113">
        <v>0</v>
      </c>
      <c r="E113">
        <v>0.32499998800000002</v>
      </c>
      <c r="F113">
        <v>3.9494729208749839</v>
      </c>
      <c r="G113">
        <v>3.6483178423578133</v>
      </c>
      <c r="H113">
        <v>3.6706238940069444</v>
      </c>
      <c r="I113">
        <v>3.2810239913831341</v>
      </c>
      <c r="J113">
        <v>5.1026004917409313</v>
      </c>
      <c r="K113">
        <v>-0.29098965798687965</v>
      </c>
      <c r="L113">
        <v>112</v>
      </c>
      <c r="M113">
        <v>12544</v>
      </c>
      <c r="N113">
        <v>0</v>
      </c>
      <c r="O113" s="4">
        <v>3.7946573826428875</v>
      </c>
      <c r="P113" s="4">
        <v>3.6141289678999482</v>
      </c>
      <c r="Q113" s="4">
        <v>2.8527852642340576</v>
      </c>
      <c r="R113">
        <v>-4.7897881429027848E-3</v>
      </c>
      <c r="S113" s="5">
        <v>4.2519999999999998</v>
      </c>
      <c r="T113" s="5">
        <v>-4.5259999999999998</v>
      </c>
      <c r="U113">
        <f t="shared" si="6"/>
        <v>4.2519999999999995E-2</v>
      </c>
      <c r="V113">
        <f t="shared" si="7"/>
        <v>-4.5259999999999995E-2</v>
      </c>
      <c r="W113" s="1">
        <v>816371228396491</v>
      </c>
      <c r="X113" s="2">
        <v>6.9248016159999999</v>
      </c>
      <c r="Y113" s="2">
        <v>6.9062518959999997</v>
      </c>
      <c r="Z113" s="2">
        <v>8.5851134879999993</v>
      </c>
      <c r="AA113" s="2">
        <v>0</v>
      </c>
      <c r="AB113">
        <v>-5.2613665781995334E-3</v>
      </c>
      <c r="AC113">
        <v>-5.6989657930556215E-3</v>
      </c>
      <c r="AD113">
        <v>-1.7786291804400278E-4</v>
      </c>
      <c r="AE113">
        <v>4.5638076854872534E-3</v>
      </c>
      <c r="AF113" s="2">
        <v>0</v>
      </c>
      <c r="AG113">
        <v>-1.0960332371255155E-2</v>
      </c>
      <c r="AH113">
        <v>-1.1138195289299158E-2</v>
      </c>
      <c r="AI113">
        <v>-6.5743876038119042E-3</v>
      </c>
      <c r="AJ113" s="2">
        <v>0</v>
      </c>
      <c r="AK113">
        <v>-5.8768287110996242E-3</v>
      </c>
      <c r="AL113">
        <v>-1.3130210256123709E-3</v>
      </c>
      <c r="AM113" s="2">
        <v>0</v>
      </c>
      <c r="AN113">
        <v>4.3859447674432506E-3</v>
      </c>
      <c r="AO113" s="2">
        <v>0</v>
      </c>
      <c r="AP113" s="2">
        <v>0</v>
      </c>
      <c r="AQ113" s="2">
        <v>0</v>
      </c>
      <c r="AR113" s="2">
        <v>0</v>
      </c>
      <c r="AS113">
        <v>1.4214875450957398E-2</v>
      </c>
      <c r="AT113" s="2">
        <v>0</v>
      </c>
      <c r="AU113">
        <v>2.4715769069675502</v>
      </c>
      <c r="AV113" s="5">
        <v>40.426972139999997</v>
      </c>
      <c r="AW113" s="6">
        <v>51.466666666666669</v>
      </c>
      <c r="AX113" s="6">
        <f t="shared" si="3"/>
        <v>3.9409343489225663</v>
      </c>
      <c r="AY113" s="5">
        <f t="shared" si="5"/>
        <v>12.098226603022866</v>
      </c>
      <c r="AZ113" s="5">
        <f t="shared" si="4"/>
        <v>-4.7382264690228659</v>
      </c>
      <c r="BA113" s="5">
        <f>$C113-AY114</f>
        <v>-1.0991424173266928</v>
      </c>
      <c r="BB113">
        <v>0.41458899999999999</v>
      </c>
      <c r="BC113">
        <v>0</v>
      </c>
      <c r="BD113">
        <v>10.56999969</v>
      </c>
      <c r="BE113" s="5">
        <f>BD113-AY113</f>
        <v>-1.5282269130228663</v>
      </c>
      <c r="BF113" s="5">
        <f>BD113-AY114</f>
        <v>2.1108571386733068</v>
      </c>
    </row>
    <row r="114" spans="1:58" x14ac:dyDescent="0.25">
      <c r="A114" t="s">
        <v>124</v>
      </c>
      <c r="B114">
        <v>0</v>
      </c>
      <c r="C114">
        <v>5.75</v>
      </c>
      <c r="D114">
        <v>0</v>
      </c>
      <c r="E114">
        <v>0.33300000400000002</v>
      </c>
      <c r="F114">
        <v>3.9616509138299629</v>
      </c>
      <c r="G114">
        <v>3.6360586779303539</v>
      </c>
      <c r="H114">
        <v>3.6769237797603664</v>
      </c>
      <c r="I114">
        <v>3.2177952412479565</v>
      </c>
      <c r="J114">
        <v>5.0796263878038488</v>
      </c>
      <c r="K114">
        <v>-0.28497738169522174</v>
      </c>
      <c r="L114">
        <v>113</v>
      </c>
      <c r="M114">
        <v>12769</v>
      </c>
      <c r="N114">
        <v>0</v>
      </c>
      <c r="O114" s="4">
        <v>3.7965672595308537</v>
      </c>
      <c r="P114" s="4">
        <v>3.6234338550388672</v>
      </c>
      <c r="Q114" s="4">
        <v>2.8739035651888574</v>
      </c>
      <c r="R114">
        <v>-2.4508122580609868E-3</v>
      </c>
      <c r="S114" s="5">
        <v>-1.04</v>
      </c>
      <c r="T114" s="5">
        <v>6.6210000000000004</v>
      </c>
      <c r="U114">
        <f t="shared" si="6"/>
        <v>-1.04E-2</v>
      </c>
      <c r="V114">
        <f t="shared" si="7"/>
        <v>6.6210000000000005E-2</v>
      </c>
      <c r="W114" s="1">
        <v>81720647577893</v>
      </c>
      <c r="X114" s="2">
        <v>6.9334076270000002</v>
      </c>
      <c r="Y114" s="2">
        <v>6.8302718059999998</v>
      </c>
      <c r="Z114" s="2">
        <v>8.5729495119999992</v>
      </c>
      <c r="AA114" s="2">
        <v>0</v>
      </c>
      <c r="AB114">
        <v>-3.8851352409055018E-3</v>
      </c>
      <c r="AC114">
        <v>2.1743665742680607E-3</v>
      </c>
      <c r="AD114">
        <v>1.6079703310048377E-2</v>
      </c>
      <c r="AE114">
        <v>5.6596493947297377E-3</v>
      </c>
      <c r="AF114" s="2">
        <v>0</v>
      </c>
      <c r="AG114">
        <v>-1.7107686666374411E-3</v>
      </c>
      <c r="AH114">
        <v>1.4368934643410936E-2</v>
      </c>
      <c r="AI114">
        <v>2.0028584038140673E-2</v>
      </c>
      <c r="AJ114" s="2">
        <v>0</v>
      </c>
      <c r="AK114">
        <v>1.8254069884316437E-2</v>
      </c>
      <c r="AL114">
        <v>2.3913719279046175E-2</v>
      </c>
      <c r="AM114" s="2">
        <v>0</v>
      </c>
      <c r="AN114">
        <v>2.1739352704778114E-2</v>
      </c>
      <c r="AO114" s="2">
        <v>0</v>
      </c>
      <c r="AP114" s="2">
        <v>0</v>
      </c>
      <c r="AQ114">
        <v>1.3868125116873187E-2</v>
      </c>
      <c r="AR114" s="2">
        <v>0</v>
      </c>
      <c r="AS114">
        <v>2.8083000567830585E-2</v>
      </c>
      <c r="AT114" s="2">
        <v>0</v>
      </c>
      <c r="AU114">
        <v>2.4882100953416599</v>
      </c>
      <c r="AV114" s="5">
        <v>41.3631332</v>
      </c>
      <c r="AW114" s="6">
        <v>52.56666666666667</v>
      </c>
      <c r="AX114" s="6">
        <f t="shared" si="3"/>
        <v>3.9620822053008831</v>
      </c>
      <c r="AY114" s="5">
        <f t="shared" si="5"/>
        <v>8.4591425513266927</v>
      </c>
      <c r="AZ114" s="5">
        <f t="shared" si="4"/>
        <v>-2.7091425513266927</v>
      </c>
      <c r="BA114" s="5">
        <f>$C114-AY115</f>
        <v>0.9595235813137819</v>
      </c>
      <c r="BB114">
        <v>0.49296000000000001</v>
      </c>
      <c r="BC114">
        <v>7.1190634647229478E-3</v>
      </c>
      <c r="BD114">
        <v>10.646666529999999</v>
      </c>
      <c r="BE114" s="5">
        <f>BD114-AY114</f>
        <v>2.1875239786733065</v>
      </c>
      <c r="BF114" s="5">
        <f>BD114-AY115</f>
        <v>5.8561901113137811</v>
      </c>
    </row>
    <row r="115" spans="1:58" x14ac:dyDescent="0.25">
      <c r="A115" t="s">
        <v>125</v>
      </c>
      <c r="B115">
        <v>0</v>
      </c>
      <c r="C115">
        <v>5.3933334349999997</v>
      </c>
      <c r="D115">
        <v>0</v>
      </c>
      <c r="E115">
        <v>0.33300000400000002</v>
      </c>
      <c r="F115">
        <v>3.9539324085053558</v>
      </c>
      <c r="G115">
        <v>3.6436728612758569</v>
      </c>
      <c r="H115">
        <v>3.6929088459501256</v>
      </c>
      <c r="I115">
        <v>3.2036809654856584</v>
      </c>
      <c r="J115">
        <v>5.0745236038922403</v>
      </c>
      <c r="K115">
        <v>-0.27907207987910687</v>
      </c>
      <c r="L115">
        <v>114</v>
      </c>
      <c r="M115">
        <v>12996</v>
      </c>
      <c r="N115">
        <v>0</v>
      </c>
      <c r="O115" s="4">
        <v>3.818481261019782</v>
      </c>
      <c r="P115" s="4">
        <v>3.6357687197086657</v>
      </c>
      <c r="Q115" s="4">
        <v>2.8931456847788901</v>
      </c>
      <c r="R115">
        <v>-1.1683422753022881E-2</v>
      </c>
      <c r="S115" s="5">
        <v>0.59</v>
      </c>
      <c r="T115" s="5">
        <v>4.3780000000000001</v>
      </c>
      <c r="U115">
        <f t="shared" si="6"/>
        <v>5.8999999999999999E-3</v>
      </c>
      <c r="V115">
        <f t="shared" si="7"/>
        <v>4.3779999999999999E-2</v>
      </c>
      <c r="W115" s="1">
        <v>8188379632111940</v>
      </c>
      <c r="X115" s="2">
        <v>6.9283502810000002</v>
      </c>
      <c r="Y115" s="2">
        <v>6.6471583389999997</v>
      </c>
      <c r="Z115" s="2">
        <v>8.5806185930000005</v>
      </c>
      <c r="AA115" s="2">
        <v>0</v>
      </c>
      <c r="AB115">
        <v>-1.0025359433492032E-3</v>
      </c>
      <c r="AC115">
        <v>1.1459288079729069E-2</v>
      </c>
      <c r="AD115">
        <v>1.8452159512266642E-3</v>
      </c>
      <c r="AE115">
        <v>2.6312109808986905E-3</v>
      </c>
      <c r="AF115" s="2">
        <v>0</v>
      </c>
      <c r="AG115">
        <v>1.0456752136379865E-2</v>
      </c>
      <c r="AH115">
        <v>1.230196808760653E-2</v>
      </c>
      <c r="AI115">
        <v>1.493317906850522E-2</v>
      </c>
      <c r="AJ115" s="2">
        <v>0</v>
      </c>
      <c r="AK115">
        <v>1.3304504030955733E-2</v>
      </c>
      <c r="AL115">
        <v>1.5935715011854423E-2</v>
      </c>
      <c r="AM115" s="2">
        <v>0</v>
      </c>
      <c r="AN115">
        <v>4.4764269321253547E-3</v>
      </c>
      <c r="AO115" s="2">
        <v>0</v>
      </c>
      <c r="AP115" s="2">
        <v>0</v>
      </c>
      <c r="AQ115">
        <v>-8.4348486738223816E-3</v>
      </c>
      <c r="AR115" s="2">
        <v>0</v>
      </c>
      <c r="AS115">
        <v>1.9648151894008203E-2</v>
      </c>
      <c r="AT115" s="2">
        <v>0</v>
      </c>
      <c r="AU115">
        <v>2.5183519105080401</v>
      </c>
      <c r="AV115" s="5">
        <v>41.98053986</v>
      </c>
      <c r="AW115" s="6">
        <v>53.2</v>
      </c>
      <c r="AX115" s="6">
        <f t="shared" si="3"/>
        <v>3.9740583963475986</v>
      </c>
      <c r="AY115" s="5">
        <f t="shared" si="5"/>
        <v>4.7904764186862181</v>
      </c>
      <c r="AZ115" s="5">
        <f t="shared" si="4"/>
        <v>0.60285701631378164</v>
      </c>
      <c r="BA115" s="5">
        <f>$C115-AY116</f>
        <v>-2.5473739860926967</v>
      </c>
      <c r="BB115">
        <v>0.73553999999999997</v>
      </c>
      <c r="BC115">
        <v>1.2636735610598191E-3</v>
      </c>
      <c r="BD115">
        <v>10.630000109999999</v>
      </c>
      <c r="BE115" s="5">
        <f>BD115-AY115</f>
        <v>5.8395236913137811</v>
      </c>
      <c r="BF115" s="5">
        <f>BD115-AY116</f>
        <v>2.6892926889073028</v>
      </c>
    </row>
    <row r="116" spans="1:58" x14ac:dyDescent="0.25">
      <c r="A116" t="s">
        <v>126</v>
      </c>
      <c r="B116">
        <v>0</v>
      </c>
      <c r="C116">
        <v>6.329999924</v>
      </c>
      <c r="D116">
        <v>0</v>
      </c>
      <c r="E116">
        <v>0.33300000400000002</v>
      </c>
      <c r="F116">
        <v>3.9713668073448587</v>
      </c>
      <c r="G116">
        <v>3.6603770936412241</v>
      </c>
      <c r="H116">
        <v>3.6997705086843986</v>
      </c>
      <c r="I116">
        <v>3.2283111716546857</v>
      </c>
      <c r="J116">
        <v>5.080528204870749</v>
      </c>
      <c r="K116">
        <v>-0.2833506135764105</v>
      </c>
      <c r="L116">
        <v>115</v>
      </c>
      <c r="M116">
        <v>13225</v>
      </c>
      <c r="N116">
        <v>0</v>
      </c>
      <c r="O116" s="4">
        <v>3.8282282676848802</v>
      </c>
      <c r="P116" s="4">
        <v>3.6405816687061843</v>
      </c>
      <c r="Q116" s="4">
        <v>2.9537116442913787</v>
      </c>
      <c r="R116">
        <v>3.8179608007648282E-2</v>
      </c>
      <c r="S116" s="5">
        <v>1.254</v>
      </c>
      <c r="T116" s="5">
        <v>-0.17699999999999999</v>
      </c>
      <c r="U116">
        <f t="shared" si="6"/>
        <v>1.2540000000000001E-2</v>
      </c>
      <c r="V116">
        <f t="shared" si="7"/>
        <v>-1.7699999999999999E-3</v>
      </c>
      <c r="W116" s="1">
        <v>8202492035571650</v>
      </c>
      <c r="X116" s="2">
        <v>6.9429304949999997</v>
      </c>
      <c r="Y116" s="2">
        <v>6.8047688580000001</v>
      </c>
      <c r="Z116" s="2">
        <v>8.5970204910000003</v>
      </c>
      <c r="AA116" s="2">
        <v>0</v>
      </c>
      <c r="AB116">
        <v>1.0870715158365685E-2</v>
      </c>
      <c r="AC116">
        <v>3.4834628170680171E-3</v>
      </c>
      <c r="AD116">
        <v>3.2803954783775513E-3</v>
      </c>
      <c r="AE116">
        <v>1.9348245606410908E-3</v>
      </c>
      <c r="AF116" s="2">
        <v>0</v>
      </c>
      <c r="AG116">
        <v>1.4354177975433702E-2</v>
      </c>
      <c r="AH116">
        <v>1.7634573453811253E-2</v>
      </c>
      <c r="AI116">
        <v>1.9569398014452344E-2</v>
      </c>
      <c r="AJ116" s="2">
        <v>0</v>
      </c>
      <c r="AK116">
        <v>6.7638582954455684E-3</v>
      </c>
      <c r="AL116">
        <v>8.6986828560866591E-3</v>
      </c>
      <c r="AM116" s="2">
        <v>0</v>
      </c>
      <c r="AN116">
        <v>5.2152200390186421E-3</v>
      </c>
      <c r="AO116" s="2">
        <v>0</v>
      </c>
      <c r="AP116" s="2">
        <v>0</v>
      </c>
      <c r="AQ116">
        <v>2.2874313633202137E-3</v>
      </c>
      <c r="AR116" s="2">
        <v>0</v>
      </c>
      <c r="AS116">
        <v>2.1935583257328417E-2</v>
      </c>
      <c r="AT116" s="2">
        <v>0</v>
      </c>
      <c r="AU116">
        <v>2.5271868106431099</v>
      </c>
      <c r="AV116" s="5">
        <v>42.761600989999998</v>
      </c>
      <c r="AW116" s="6">
        <v>54.266666666666666</v>
      </c>
      <c r="AX116" s="6">
        <f t="shared" si="3"/>
        <v>3.9939101649003304</v>
      </c>
      <c r="AY116" s="5">
        <f t="shared" si="5"/>
        <v>7.9407074210926964</v>
      </c>
      <c r="AZ116" s="5">
        <f t="shared" si="4"/>
        <v>-1.6107074970926964</v>
      </c>
      <c r="BA116" s="5">
        <f>$C116-AY117</f>
        <v>-0.97391572910171131</v>
      </c>
      <c r="BB116">
        <v>0.76368499999999995</v>
      </c>
      <c r="BC116">
        <v>-1.5144683763431369E-3</v>
      </c>
      <c r="BD116">
        <v>10.58333302</v>
      </c>
      <c r="BE116" s="5">
        <f>BD116-AY116</f>
        <v>2.6426255989073031</v>
      </c>
      <c r="BF116" s="5">
        <f>BD116-AY117</f>
        <v>3.2794173668982882</v>
      </c>
    </row>
    <row r="117" spans="1:58" x14ac:dyDescent="0.25">
      <c r="A117" t="s">
        <v>127</v>
      </c>
      <c r="B117">
        <v>0</v>
      </c>
      <c r="C117">
        <v>5.626666546</v>
      </c>
      <c r="D117">
        <v>0</v>
      </c>
      <c r="E117">
        <v>0.33300000400000002</v>
      </c>
      <c r="F117">
        <v>3.9798124864645033</v>
      </c>
      <c r="G117">
        <v>3.6733596424558996</v>
      </c>
      <c r="H117">
        <v>3.7072480573654238</v>
      </c>
      <c r="I117">
        <v>3.2468411251499028</v>
      </c>
      <c r="J117">
        <v>5.0930935435367699</v>
      </c>
      <c r="K117">
        <v>-0.27786072386102167</v>
      </c>
      <c r="L117">
        <v>116</v>
      </c>
      <c r="M117">
        <v>13456</v>
      </c>
      <c r="N117">
        <v>0</v>
      </c>
      <c r="O117" s="4">
        <v>3.825789507630216</v>
      </c>
      <c r="P117" s="4">
        <v>3.6545467750334311</v>
      </c>
      <c r="Q117" s="4">
        <v>2.9823937091148105</v>
      </c>
      <c r="R117">
        <v>-1.2924643332378742E-2</v>
      </c>
      <c r="S117" s="5">
        <v>6.3689999999999998</v>
      </c>
      <c r="T117" s="5">
        <v>-2.6059999999999999</v>
      </c>
      <c r="U117">
        <f t="shared" si="6"/>
        <v>6.3689999999999997E-2</v>
      </c>
      <c r="V117">
        <f t="shared" si="7"/>
        <v>-2.606E-2</v>
      </c>
      <c r="W117" s="1">
        <v>8213187951321660</v>
      </c>
      <c r="X117" s="2">
        <v>6.9546877389999997</v>
      </c>
      <c r="Y117" s="2">
        <v>6.8196300169999997</v>
      </c>
      <c r="Z117" s="2">
        <v>8.6104102729999994</v>
      </c>
      <c r="AA117" s="2">
        <v>0</v>
      </c>
      <c r="AB117">
        <v>6.8645109351894718E-4</v>
      </c>
      <c r="AC117">
        <v>6.5704998735371944E-4</v>
      </c>
      <c r="AD117">
        <v>3.746525775029097E-4</v>
      </c>
      <c r="AE117">
        <v>7.5481214837681554E-3</v>
      </c>
      <c r="AF117" s="2">
        <v>0</v>
      </c>
      <c r="AG117">
        <v>1.3435010808726666E-3</v>
      </c>
      <c r="AH117">
        <v>1.7181536583755763E-3</v>
      </c>
      <c r="AI117">
        <v>9.2662751421437317E-3</v>
      </c>
      <c r="AJ117" s="2">
        <v>0</v>
      </c>
      <c r="AK117">
        <v>1.0317025648566291E-3</v>
      </c>
      <c r="AL117">
        <v>8.5798240486247845E-3</v>
      </c>
      <c r="AM117" s="2">
        <v>0</v>
      </c>
      <c r="AN117">
        <v>7.9227740612710651E-3</v>
      </c>
      <c r="AO117" s="2">
        <v>0</v>
      </c>
      <c r="AP117" s="2">
        <v>0</v>
      </c>
      <c r="AQ117">
        <v>-4.1835174741620129E-3</v>
      </c>
      <c r="AR117" s="2">
        <v>0</v>
      </c>
      <c r="AS117">
        <v>1.7752065783166404E-2</v>
      </c>
      <c r="AT117" s="2">
        <v>0</v>
      </c>
      <c r="AU117">
        <v>2.5686021321221402</v>
      </c>
      <c r="AV117" s="5">
        <v>43.517672150000003</v>
      </c>
      <c r="AW117" s="6">
        <v>55.266666666666666</v>
      </c>
      <c r="AX117" s="6">
        <f t="shared" si="3"/>
        <v>4.0121699540330846</v>
      </c>
      <c r="AY117" s="5">
        <f t="shared" si="5"/>
        <v>7.3039156531017113</v>
      </c>
      <c r="AZ117" s="5">
        <f t="shared" si="4"/>
        <v>-1.6772491071017113</v>
      </c>
      <c r="BA117" s="5">
        <f>$C117-AY118</f>
        <v>1.0688960948125628</v>
      </c>
      <c r="BB117">
        <v>0.61508399999999996</v>
      </c>
      <c r="BC117">
        <v>-6.4146126683398358E-4</v>
      </c>
      <c r="BD117">
        <v>10.579999920000001</v>
      </c>
      <c r="BE117" s="5">
        <f>BD117-AY117</f>
        <v>3.2760842668982892</v>
      </c>
      <c r="BF117" s="5">
        <f>BD117-AY118</f>
        <v>6.0222294688125633</v>
      </c>
    </row>
    <row r="118" spans="1:58" x14ac:dyDescent="0.25">
      <c r="A118" t="s">
        <v>128</v>
      </c>
      <c r="B118">
        <v>0</v>
      </c>
      <c r="C118">
        <v>4.9166665079999996</v>
      </c>
      <c r="D118">
        <v>0</v>
      </c>
      <c r="E118">
        <v>0.34000000400000002</v>
      </c>
      <c r="F118">
        <v>3.9822950584134778</v>
      </c>
      <c r="G118">
        <v>3.6958302413257016</v>
      </c>
      <c r="H118">
        <v>3.722071377454645</v>
      </c>
      <c r="I118">
        <v>3.2874312673637061</v>
      </c>
      <c r="J118">
        <v>5.1050420356200572</v>
      </c>
      <c r="K118">
        <v>-0.26285027498781716</v>
      </c>
      <c r="L118">
        <v>117</v>
      </c>
      <c r="M118">
        <v>13689</v>
      </c>
      <c r="N118">
        <v>2.3338584514849174E-3</v>
      </c>
      <c r="O118" s="4">
        <v>3.8458618351739449</v>
      </c>
      <c r="P118" s="4">
        <v>3.6661480421118444</v>
      </c>
      <c r="Q118" s="4">
        <v>3.0311959378295601</v>
      </c>
      <c r="R118">
        <v>-1.4560256674197657E-2</v>
      </c>
      <c r="S118" s="5">
        <v>1.0760000000000001</v>
      </c>
      <c r="T118" s="5">
        <v>-1.2290000000000001</v>
      </c>
      <c r="U118">
        <f t="shared" si="6"/>
        <v>1.076E-2</v>
      </c>
      <c r="V118">
        <f t="shared" si="7"/>
        <v>-1.2290000000000001E-2</v>
      </c>
      <c r="W118" s="1">
        <v>8232984546292040</v>
      </c>
      <c r="X118" s="2">
        <v>6.9576171320000002</v>
      </c>
      <c r="Y118" s="2">
        <v>6.8660459300000003</v>
      </c>
      <c r="Z118" s="2">
        <v>8.6327337150000005</v>
      </c>
      <c r="AA118" s="2">
        <v>0</v>
      </c>
      <c r="AB118">
        <v>5.0509742422177872E-4</v>
      </c>
      <c r="AC118">
        <v>9.988713614672573E-4</v>
      </c>
      <c r="AD118">
        <v>7.0410725578881062E-3</v>
      </c>
      <c r="AE118">
        <v>2.863181141650073E-3</v>
      </c>
      <c r="AF118" s="2">
        <v>0</v>
      </c>
      <c r="AG118">
        <v>1.503968785689036E-3</v>
      </c>
      <c r="AH118">
        <v>8.5450413435771422E-3</v>
      </c>
      <c r="AI118">
        <v>1.1408222485227215E-2</v>
      </c>
      <c r="AJ118" s="2">
        <v>0</v>
      </c>
      <c r="AK118">
        <v>8.0399439193553635E-3</v>
      </c>
      <c r="AL118">
        <v>1.0903125061005436E-2</v>
      </c>
      <c r="AM118" s="2">
        <v>0</v>
      </c>
      <c r="AN118">
        <v>9.9042536995381791E-3</v>
      </c>
      <c r="AO118" s="2">
        <v>0</v>
      </c>
      <c r="AP118" s="2">
        <v>0</v>
      </c>
      <c r="AQ118">
        <v>1.1716985808429836E-4</v>
      </c>
      <c r="AR118" s="2">
        <v>0</v>
      </c>
      <c r="AS118">
        <v>1.7869235641250703E-2</v>
      </c>
      <c r="AT118" s="2">
        <v>0</v>
      </c>
      <c r="AU118">
        <v>2.6030702005427302</v>
      </c>
      <c r="AV118" s="5">
        <v>43.990665110000002</v>
      </c>
      <c r="AW118" s="6">
        <v>55.9</v>
      </c>
      <c r="AX118" s="6">
        <f t="shared" si="3"/>
        <v>4.0235643801610532</v>
      </c>
      <c r="AY118" s="5">
        <f t="shared" si="5"/>
        <v>4.5577704511874373</v>
      </c>
      <c r="AZ118" s="5">
        <f t="shared" si="4"/>
        <v>0.35889605681256231</v>
      </c>
      <c r="BA118" s="5">
        <f>$C118-AY119</f>
        <v>1.3547551708159569</v>
      </c>
      <c r="BB118">
        <v>0.68880799999999998</v>
      </c>
      <c r="BC118">
        <v>4.8698872762901468E-3</v>
      </c>
      <c r="BD118">
        <v>10.25666618</v>
      </c>
      <c r="BE118" s="5">
        <f>BD118-AY118</f>
        <v>5.6988957288125626</v>
      </c>
      <c r="BF118" s="5">
        <f>BD118-AY119</f>
        <v>6.6947548428159571</v>
      </c>
    </row>
    <row r="119" spans="1:58" x14ac:dyDescent="0.25">
      <c r="A119" t="s">
        <v>129</v>
      </c>
      <c r="B119">
        <v>0</v>
      </c>
      <c r="C119">
        <v>5.1566667559999999</v>
      </c>
      <c r="D119">
        <v>0</v>
      </c>
      <c r="E119">
        <v>0.34000000400000002</v>
      </c>
      <c r="F119">
        <v>3.9712725646321063</v>
      </c>
      <c r="G119">
        <v>3.7033246185454325</v>
      </c>
      <c r="H119">
        <v>3.7321736291561729</v>
      </c>
      <c r="I119">
        <v>3.3043560302125998</v>
      </c>
      <c r="J119">
        <v>5.1070902729135179</v>
      </c>
      <c r="K119">
        <v>-0.25224457438089459</v>
      </c>
      <c r="L119">
        <v>118</v>
      </c>
      <c r="M119">
        <v>13924</v>
      </c>
      <c r="N119">
        <v>0</v>
      </c>
      <c r="O119" s="4">
        <v>3.8610875417483932</v>
      </c>
      <c r="P119" s="4">
        <v>3.6727500721840527</v>
      </c>
      <c r="Q119" s="4">
        <v>3.0357219217701492</v>
      </c>
      <c r="R119">
        <v>-1.2002214004327629E-3</v>
      </c>
      <c r="S119" s="5">
        <v>3.383</v>
      </c>
      <c r="T119" s="5">
        <v>0.64600000000000002</v>
      </c>
      <c r="U119">
        <f t="shared" si="6"/>
        <v>3.3829999999999999E-2</v>
      </c>
      <c r="V119">
        <f t="shared" si="7"/>
        <v>6.4600000000000005E-3</v>
      </c>
      <c r="W119" s="1">
        <v>8242142999761560</v>
      </c>
      <c r="X119" s="2">
        <v>6.9457594939999998</v>
      </c>
      <c r="Y119" s="2">
        <v>6.8946359150000003</v>
      </c>
      <c r="Z119" s="2">
        <v>8.6402600209999996</v>
      </c>
      <c r="AA119" s="2">
        <v>0</v>
      </c>
      <c r="AB119">
        <v>-1.1309026007960687E-4</v>
      </c>
      <c r="AC119">
        <v>9.6564904409266461E-3</v>
      </c>
      <c r="AD119">
        <v>1.6521492262612236E-3</v>
      </c>
      <c r="AE119">
        <v>3.6093709533610019E-3</v>
      </c>
      <c r="AF119" s="2">
        <v>0</v>
      </c>
      <c r="AG119">
        <v>9.5434001808470392E-3</v>
      </c>
      <c r="AH119">
        <v>1.1195549407108263E-2</v>
      </c>
      <c r="AI119">
        <v>1.4804920360469265E-2</v>
      </c>
      <c r="AJ119" s="2">
        <v>0</v>
      </c>
      <c r="AK119">
        <v>1.130863966718787E-2</v>
      </c>
      <c r="AL119">
        <v>1.4918010620548872E-2</v>
      </c>
      <c r="AM119" s="2">
        <v>0</v>
      </c>
      <c r="AN119">
        <v>5.2615201796222255E-3</v>
      </c>
      <c r="AO119" s="2">
        <v>0</v>
      </c>
      <c r="AP119" s="2">
        <v>0</v>
      </c>
      <c r="AQ119">
        <v>1.4043859676496906E-3</v>
      </c>
      <c r="AR119" s="2">
        <v>0</v>
      </c>
      <c r="AS119">
        <v>1.9273621608900393E-2</v>
      </c>
      <c r="AT119" s="2">
        <v>0</v>
      </c>
      <c r="AU119">
        <v>2.62136701440838</v>
      </c>
      <c r="AV119" s="5">
        <v>44.458134149999999</v>
      </c>
      <c r="AW119" s="6">
        <v>56.4</v>
      </c>
      <c r="AX119" s="6">
        <f t="shared" si="3"/>
        <v>4.0324691585040133</v>
      </c>
      <c r="AY119" s="5">
        <f t="shared" si="5"/>
        <v>3.5619113371840427</v>
      </c>
      <c r="AZ119" s="5">
        <f t="shared" si="4"/>
        <v>1.5947554188159572</v>
      </c>
      <c r="BA119" s="5">
        <f>$C119-AY120</f>
        <v>-1.1759193306722651</v>
      </c>
      <c r="BB119">
        <v>0.87064699999999995</v>
      </c>
      <c r="BC119">
        <v>-7.0671370478186338E-4</v>
      </c>
      <c r="BD119">
        <v>9.8966665270000007</v>
      </c>
      <c r="BE119" s="5">
        <f>BD119-AY119</f>
        <v>6.334755189815958</v>
      </c>
      <c r="BF119" s="5">
        <f>BD119-AY120</f>
        <v>3.5640804403277357</v>
      </c>
    </row>
    <row r="120" spans="1:58" x14ac:dyDescent="0.25">
      <c r="A120" t="s">
        <v>130</v>
      </c>
      <c r="B120">
        <v>0</v>
      </c>
      <c r="C120">
        <v>5.1500000950000002</v>
      </c>
      <c r="D120">
        <v>0</v>
      </c>
      <c r="E120">
        <v>0.34000000400000002</v>
      </c>
      <c r="F120">
        <v>3.9659996962848783</v>
      </c>
      <c r="G120">
        <v>3.7082162866700776</v>
      </c>
      <c r="H120">
        <v>3.7425089415137718</v>
      </c>
      <c r="I120">
        <v>3.3148039954950366</v>
      </c>
      <c r="J120">
        <v>5.1113490301770996</v>
      </c>
      <c r="K120">
        <v>-0.2463563525539009</v>
      </c>
      <c r="L120">
        <v>119</v>
      </c>
      <c r="M120">
        <v>14161</v>
      </c>
      <c r="N120">
        <v>0</v>
      </c>
      <c r="O120" s="4">
        <v>3.8687187660188735</v>
      </c>
      <c r="P120" s="4">
        <v>3.6848463319997706</v>
      </c>
      <c r="Q120" s="4">
        <v>3.0469955674915323</v>
      </c>
      <c r="R120">
        <v>-2.0441478584557644E-3</v>
      </c>
      <c r="S120" s="5">
        <v>1.6830000000000001</v>
      </c>
      <c r="T120" s="5">
        <v>1.2310000000000001</v>
      </c>
      <c r="U120">
        <f t="shared" si="6"/>
        <v>1.6830000000000001E-2</v>
      </c>
      <c r="V120">
        <f t="shared" si="7"/>
        <v>1.2310000000000001E-2</v>
      </c>
      <c r="W120" s="1">
        <v>8252616521383410</v>
      </c>
      <c r="X120" s="2">
        <v>6.9346877410000003</v>
      </c>
      <c r="Y120" s="2">
        <v>6.8952914200000004</v>
      </c>
      <c r="Z120" s="2">
        <v>8.6453401139999997</v>
      </c>
      <c r="AA120" s="2">
        <v>0</v>
      </c>
      <c r="AB120">
        <v>9.5883616770511826E-3</v>
      </c>
      <c r="AC120">
        <v>4.9151818924337842E-3</v>
      </c>
      <c r="AD120">
        <v>3.3560158735553847E-3</v>
      </c>
      <c r="AE120">
        <v>1.7334580990131521E-3</v>
      </c>
      <c r="AF120" s="2">
        <v>0</v>
      </c>
      <c r="AG120">
        <v>1.4503543569484967E-2</v>
      </c>
      <c r="AH120">
        <v>1.7859559443040351E-2</v>
      </c>
      <c r="AI120">
        <v>1.9593017542053504E-2</v>
      </c>
      <c r="AJ120" s="2">
        <v>0</v>
      </c>
      <c r="AK120">
        <v>8.2711977659891689E-3</v>
      </c>
      <c r="AL120">
        <v>1.0004655865002321E-2</v>
      </c>
      <c r="AM120" s="2">
        <v>0</v>
      </c>
      <c r="AN120">
        <v>5.0894739725685367E-3</v>
      </c>
      <c r="AO120" s="2">
        <v>0</v>
      </c>
      <c r="AP120" s="2">
        <v>0</v>
      </c>
      <c r="AQ120">
        <v>3.0096775863669434E-3</v>
      </c>
      <c r="AR120" s="2">
        <v>0</v>
      </c>
      <c r="AS120">
        <v>2.2283299195267336E-2</v>
      </c>
      <c r="AT120" s="2">
        <v>0</v>
      </c>
      <c r="AU120">
        <v>2.6414683231945602</v>
      </c>
      <c r="AV120" s="5">
        <v>45.062651729999999</v>
      </c>
      <c r="AW120" s="6">
        <v>57.3</v>
      </c>
      <c r="AX120" s="6">
        <f t="shared" si="3"/>
        <v>4.048300623720694</v>
      </c>
      <c r="AY120" s="5">
        <f t="shared" si="5"/>
        <v>6.332586086672265</v>
      </c>
      <c r="AZ120" s="5">
        <f t="shared" si="4"/>
        <v>-1.1825859916722647</v>
      </c>
      <c r="BA120" s="5">
        <f>$C120-AY121</f>
        <v>-0.62543953943005715</v>
      </c>
      <c r="BB120">
        <v>0.81966499999999998</v>
      </c>
      <c r="BC120">
        <v>-1.5270915949760766E-3</v>
      </c>
      <c r="BD120">
        <v>9.6199998860000004</v>
      </c>
      <c r="BE120" s="5">
        <f>BD120-AY120</f>
        <v>3.2874137993277355</v>
      </c>
      <c r="BF120" s="5">
        <f>BD120-AY121</f>
        <v>3.8445602515699431</v>
      </c>
    </row>
    <row r="121" spans="1:58" x14ac:dyDescent="0.25">
      <c r="A121" t="s">
        <v>131</v>
      </c>
      <c r="B121">
        <v>0</v>
      </c>
      <c r="C121">
        <v>4.6733331680000001</v>
      </c>
      <c r="D121">
        <v>2.4</v>
      </c>
      <c r="E121">
        <v>0.34000000400000002</v>
      </c>
      <c r="F121">
        <v>3.9652224818957236</v>
      </c>
      <c r="G121">
        <v>3.7154483541560808</v>
      </c>
      <c r="H121">
        <v>3.7549699444646572</v>
      </c>
      <c r="I121">
        <v>3.3649482489870342</v>
      </c>
      <c r="J121">
        <v>5.1184966799696472</v>
      </c>
      <c r="K121">
        <v>-0.23976969311409194</v>
      </c>
      <c r="L121">
        <v>120</v>
      </c>
      <c r="M121">
        <v>14400</v>
      </c>
      <c r="N121">
        <v>0</v>
      </c>
      <c r="O121" s="4">
        <v>3.8791898483329059</v>
      </c>
      <c r="P121" s="4">
        <v>3.6985822295753215</v>
      </c>
      <c r="Q121" s="4">
        <v>3.0626429788366178</v>
      </c>
      <c r="R121">
        <v>-1.3591637707114076E-2</v>
      </c>
      <c r="S121" s="5">
        <v>6.069</v>
      </c>
      <c r="T121" s="5">
        <v>-5.617</v>
      </c>
      <c r="U121">
        <f t="shared" si="6"/>
        <v>6.0690000000000001E-2</v>
      </c>
      <c r="V121">
        <f t="shared" si="7"/>
        <v>-5.6169999999999998E-2</v>
      </c>
      <c r="W121" s="1">
        <v>826550792295404</v>
      </c>
      <c r="X121" s="2">
        <v>6.9354041249999998</v>
      </c>
      <c r="Y121" s="2">
        <v>6.9023939710000004</v>
      </c>
      <c r="Z121" s="2">
        <v>8.6528074129999997</v>
      </c>
      <c r="AA121" s="2">
        <v>0</v>
      </c>
      <c r="AB121">
        <v>1.49104098707592E-3</v>
      </c>
      <c r="AC121">
        <v>5.2630171803236259E-4</v>
      </c>
      <c r="AD121">
        <v>5.7326597048651395E-4</v>
      </c>
      <c r="AE121">
        <v>6.8261948226113756E-3</v>
      </c>
      <c r="AF121" s="2">
        <v>0</v>
      </c>
      <c r="AG121">
        <v>2.0173427051082826E-3</v>
      </c>
      <c r="AH121">
        <v>2.5906086755947966E-3</v>
      </c>
      <c r="AI121">
        <v>9.4168034982061721E-3</v>
      </c>
      <c r="AJ121" s="2">
        <v>0</v>
      </c>
      <c r="AK121">
        <v>1.0995676885188765E-3</v>
      </c>
      <c r="AL121">
        <v>7.9257625111302521E-3</v>
      </c>
      <c r="AM121" s="2">
        <v>0</v>
      </c>
      <c r="AN121">
        <v>7.3994607930978895E-3</v>
      </c>
      <c r="AO121" s="2">
        <v>0</v>
      </c>
      <c r="AP121" s="2">
        <v>0</v>
      </c>
      <c r="AQ121">
        <v>-3.9899062840496602E-3</v>
      </c>
      <c r="AR121" s="2">
        <v>0</v>
      </c>
      <c r="AS121">
        <v>1.8293392911217676E-2</v>
      </c>
      <c r="AT121" s="2">
        <v>0</v>
      </c>
      <c r="AU121">
        <v>2.6664218801764701</v>
      </c>
      <c r="AV121" s="5">
        <v>45.877254909999998</v>
      </c>
      <c r="AW121" s="6">
        <v>58.133333333333333</v>
      </c>
      <c r="AX121" s="6">
        <f t="shared" si="3"/>
        <v>4.0627392228067691</v>
      </c>
      <c r="AY121" s="5">
        <f t="shared" si="5"/>
        <v>5.7754396344300574</v>
      </c>
      <c r="AZ121" s="5">
        <f t="shared" si="4"/>
        <v>-1.1021064664300573</v>
      </c>
      <c r="BA121" s="5">
        <f>$C121-AY122</f>
        <v>-2.5995944652765379</v>
      </c>
      <c r="BB121">
        <v>0.82115499999999997</v>
      </c>
      <c r="BC121">
        <v>-1.8389695285630512E-3</v>
      </c>
      <c r="BD121">
        <v>9.2133331300000005</v>
      </c>
      <c r="BE121" s="5">
        <f>BD121-AY121</f>
        <v>3.4378934955699432</v>
      </c>
      <c r="BF121" s="5">
        <f>BD121-AY122</f>
        <v>1.9404054967234625</v>
      </c>
    </row>
    <row r="122" spans="1:58" x14ac:dyDescent="0.25">
      <c r="A122" t="s">
        <v>132</v>
      </c>
      <c r="B122">
        <v>0</v>
      </c>
      <c r="C122">
        <v>4.6300001139999996</v>
      </c>
      <c r="D122">
        <v>-0.8</v>
      </c>
      <c r="E122">
        <v>0.36100000100000001</v>
      </c>
      <c r="F122">
        <v>3.9742463486082777</v>
      </c>
      <c r="G122">
        <v>3.7269937862225944</v>
      </c>
      <c r="H122">
        <v>3.7621450872068447</v>
      </c>
      <c r="I122">
        <v>3.4004637793084043</v>
      </c>
      <c r="J122">
        <v>5.1235948636693793</v>
      </c>
      <c r="K122">
        <v>-0.2383548967199399</v>
      </c>
      <c r="L122">
        <v>121</v>
      </c>
      <c r="M122">
        <v>14641</v>
      </c>
      <c r="N122">
        <v>0</v>
      </c>
      <c r="O122" s="4">
        <v>3.8785282675442359</v>
      </c>
      <c r="P122" s="4">
        <v>3.7104207651016639</v>
      </c>
      <c r="Q122" s="4">
        <v>3.0986498075606774</v>
      </c>
      <c r="R122">
        <v>9.6632154659603824E-3</v>
      </c>
      <c r="S122" s="5">
        <v>3.282</v>
      </c>
      <c r="T122" s="5">
        <v>-5.6719999999999997</v>
      </c>
      <c r="U122">
        <f t="shared" si="6"/>
        <v>3.2820000000000002E-2</v>
      </c>
      <c r="V122">
        <f t="shared" si="7"/>
        <v>-5.672E-2</v>
      </c>
      <c r="W122" s="1">
        <v>8277225911478200</v>
      </c>
      <c r="X122" s="2">
        <v>6.9458056719999997</v>
      </c>
      <c r="Y122" s="2">
        <v>6.9382203010000003</v>
      </c>
      <c r="Z122" s="2">
        <v>8.6643883089999996</v>
      </c>
      <c r="AA122" s="2">
        <v>0</v>
      </c>
      <c r="AB122">
        <v>3.014312085786619E-3</v>
      </c>
      <c r="AC122">
        <v>4.4051416775662822E-3</v>
      </c>
      <c r="AD122">
        <v>1.1998424684969589E-2</v>
      </c>
      <c r="AE122">
        <v>4.9040688168609514E-3</v>
      </c>
      <c r="AF122" s="2">
        <v>0</v>
      </c>
      <c r="AG122">
        <v>7.4194537633529012E-3</v>
      </c>
      <c r="AH122">
        <v>1.941787844832249E-2</v>
      </c>
      <c r="AI122">
        <v>2.4321947265183441E-2</v>
      </c>
      <c r="AJ122" s="2">
        <v>0</v>
      </c>
      <c r="AK122">
        <v>1.6403566362535871E-2</v>
      </c>
      <c r="AL122">
        <v>2.1307635179396822E-2</v>
      </c>
      <c r="AM122" s="2">
        <v>0</v>
      </c>
      <c r="AN122">
        <v>1.690249350183054E-2</v>
      </c>
      <c r="AO122" s="2">
        <v>0</v>
      </c>
      <c r="AP122" s="2">
        <v>0</v>
      </c>
      <c r="AQ122">
        <v>9.0041055694379812E-3</v>
      </c>
      <c r="AR122" s="2">
        <v>0</v>
      </c>
      <c r="AS122">
        <v>2.7297498480655658E-2</v>
      </c>
      <c r="AT122" s="2">
        <v>0</v>
      </c>
      <c r="AU122">
        <v>2.65891395495531</v>
      </c>
      <c r="AV122" s="5">
        <v>46.650141980000001</v>
      </c>
      <c r="AW122" s="6">
        <v>59.2</v>
      </c>
      <c r="AX122" s="6">
        <f t="shared" si="3"/>
        <v>4.0809215418899605</v>
      </c>
      <c r="AY122" s="5">
        <f t="shared" si="5"/>
        <v>7.272927633276538</v>
      </c>
      <c r="AZ122" s="5">
        <f t="shared" si="4"/>
        <v>-2.6429275192765385</v>
      </c>
      <c r="BA122" s="5">
        <f>$C122-AY123</f>
        <v>-2.2917467020449163</v>
      </c>
      <c r="BB122">
        <v>0.81339799999999995</v>
      </c>
      <c r="BC122">
        <v>3.8421109716265788E-3</v>
      </c>
      <c r="BD122">
        <v>9.1066665649999994</v>
      </c>
      <c r="BE122" s="5">
        <f>BD122-AY122</f>
        <v>1.8337389317234614</v>
      </c>
      <c r="BF122" s="5">
        <f>BD122-AY123</f>
        <v>2.1849197489550836</v>
      </c>
    </row>
    <row r="123" spans="1:58" x14ac:dyDescent="0.25">
      <c r="A123" t="s">
        <v>133</v>
      </c>
      <c r="B123">
        <v>0</v>
      </c>
      <c r="C123">
        <v>4.8400001530000001</v>
      </c>
      <c r="D123">
        <v>0</v>
      </c>
      <c r="E123">
        <v>0.36100000100000001</v>
      </c>
      <c r="F123">
        <v>3.9845854982293614</v>
      </c>
      <c r="G123">
        <v>3.7466765528401531</v>
      </c>
      <c r="H123">
        <v>3.7644330830878174</v>
      </c>
      <c r="I123">
        <v>3.4547697436676748</v>
      </c>
      <c r="J123">
        <v>5.1430427219756547</v>
      </c>
      <c r="K123">
        <v>-0.2355754993975411</v>
      </c>
      <c r="L123">
        <v>122</v>
      </c>
      <c r="M123">
        <v>14884</v>
      </c>
      <c r="N123">
        <v>0</v>
      </c>
      <c r="O123" s="4">
        <v>3.8784662218993033</v>
      </c>
      <c r="P123" s="4">
        <v>3.7143035064540948</v>
      </c>
      <c r="Q123" s="4">
        <v>3.121968370099133</v>
      </c>
      <c r="R123">
        <v>1.2114768964739897E-2</v>
      </c>
      <c r="S123" s="5">
        <v>5.343</v>
      </c>
      <c r="T123" s="5">
        <v>4.7370000000000001</v>
      </c>
      <c r="U123">
        <f t="shared" si="6"/>
        <v>5.3429999999999998E-2</v>
      </c>
      <c r="V123">
        <f t="shared" si="7"/>
        <v>4.7370000000000002E-2</v>
      </c>
      <c r="W123" s="1">
        <v>8282633725805910</v>
      </c>
      <c r="X123" s="2">
        <v>6.9570108900000003</v>
      </c>
      <c r="Y123" s="2">
        <v>6.9745955439999996</v>
      </c>
      <c r="Z123" s="2">
        <v>8.6838256489999992</v>
      </c>
      <c r="AA123" s="2">
        <v>0</v>
      </c>
      <c r="AB123">
        <v>5.1968284732877845E-3</v>
      </c>
      <c r="AC123">
        <v>1.144031783546684E-2</v>
      </c>
      <c r="AD123">
        <v>2.8555663787445673E-3</v>
      </c>
      <c r="AE123">
        <v>3.8291220669501302E-3</v>
      </c>
      <c r="AF123" s="2">
        <v>0</v>
      </c>
      <c r="AG123">
        <v>1.6637146308754625E-2</v>
      </c>
      <c r="AH123">
        <v>1.9492712687499192E-2</v>
      </c>
      <c r="AI123">
        <v>2.3321834754449322E-2</v>
      </c>
      <c r="AJ123" s="2">
        <v>0</v>
      </c>
      <c r="AK123">
        <v>1.4295884214211407E-2</v>
      </c>
      <c r="AL123">
        <v>1.8125006281161538E-2</v>
      </c>
      <c r="AM123" s="2">
        <v>0</v>
      </c>
      <c r="AN123">
        <v>6.6846884456946976E-3</v>
      </c>
      <c r="AO123" s="2">
        <v>0</v>
      </c>
      <c r="AP123" s="2">
        <v>0</v>
      </c>
      <c r="AQ123">
        <v>-2.6066092876191327E-3</v>
      </c>
      <c r="AR123" s="2">
        <v>0</v>
      </c>
      <c r="AS123">
        <v>2.4690889193036525E-2</v>
      </c>
      <c r="AT123" s="2">
        <v>0</v>
      </c>
      <c r="AU123">
        <v>2.6555169741450602</v>
      </c>
      <c r="AV123" s="5">
        <v>47.314771120000003</v>
      </c>
      <c r="AW123" s="6">
        <v>60.233333333333334</v>
      </c>
      <c r="AX123" s="6">
        <f t="shared" si="3"/>
        <v>4.0982259089300728</v>
      </c>
      <c r="AY123" s="5">
        <f t="shared" si="5"/>
        <v>6.9217468160449158</v>
      </c>
      <c r="AZ123" s="5">
        <f t="shared" si="4"/>
        <v>-2.0817466630449157</v>
      </c>
      <c r="BA123" s="5">
        <f>$C123-AY124</f>
        <v>-0.65610170373898846</v>
      </c>
      <c r="BB123">
        <v>0.91695400000000005</v>
      </c>
      <c r="BC123">
        <v>-1.0927561855294888E-3</v>
      </c>
      <c r="BD123">
        <v>8.9966669079999999</v>
      </c>
      <c r="BE123" s="5">
        <f>BD123-AY123</f>
        <v>2.0749200919550841</v>
      </c>
      <c r="BF123" s="5">
        <f>BD123-AY124</f>
        <v>3.5005650512610114</v>
      </c>
    </row>
    <row r="124" spans="1:58" x14ac:dyDescent="0.25">
      <c r="A124" t="s">
        <v>134</v>
      </c>
      <c r="B124">
        <v>0</v>
      </c>
      <c r="C124">
        <v>5.4966664310000004</v>
      </c>
      <c r="D124">
        <v>-7</v>
      </c>
      <c r="E124">
        <v>0.36100000100000001</v>
      </c>
      <c r="F124">
        <v>3.9864066538653833</v>
      </c>
      <c r="G124">
        <v>3.7644042792001824</v>
      </c>
      <c r="H124">
        <v>3.7730608186432133</v>
      </c>
      <c r="I124">
        <v>3.4676403382108694</v>
      </c>
      <c r="J124">
        <v>5.1520943462901743</v>
      </c>
      <c r="K124">
        <v>-0.22566395562376337</v>
      </c>
      <c r="L124">
        <v>123</v>
      </c>
      <c r="M124">
        <v>15129</v>
      </c>
      <c r="N124">
        <v>-2.4935168561739476E-3</v>
      </c>
      <c r="O124" s="4">
        <v>3.8834177484178118</v>
      </c>
      <c r="P124" s="4">
        <v>3.7250667248756484</v>
      </c>
      <c r="Q124" s="4">
        <v>3.1365805821413706</v>
      </c>
      <c r="R124">
        <v>-4.7141813961663562E-3</v>
      </c>
      <c r="S124" s="5">
        <v>7.5250000000000004</v>
      </c>
      <c r="T124" s="5">
        <v>3.2559999999999998</v>
      </c>
      <c r="U124">
        <f t="shared" si="6"/>
        <v>7.5249999999999997E-2</v>
      </c>
      <c r="V124">
        <f t="shared" si="7"/>
        <v>3.2559999999999999E-2</v>
      </c>
      <c r="W124" s="1">
        <v>8292044881916530</v>
      </c>
      <c r="X124" s="2">
        <v>6.9583402679999997</v>
      </c>
      <c r="Y124" s="2">
        <v>6.9796516759999996</v>
      </c>
      <c r="Z124" s="2">
        <v>8.7013630390000003</v>
      </c>
      <c r="AA124" s="2">
        <v>0</v>
      </c>
      <c r="AB124">
        <v>1.1895941999954363E-2</v>
      </c>
      <c r="AC124">
        <v>4.7663492931818707E-3</v>
      </c>
      <c r="AD124">
        <v>3.9411911758565621E-3</v>
      </c>
      <c r="AE124">
        <v>2.6608561005466713E-3</v>
      </c>
      <c r="AF124" s="2">
        <v>0</v>
      </c>
      <c r="AG124">
        <v>1.6662291293136233E-2</v>
      </c>
      <c r="AH124">
        <v>2.0603482468992795E-2</v>
      </c>
      <c r="AI124">
        <v>2.3264338569539467E-2</v>
      </c>
      <c r="AJ124" s="2">
        <v>0</v>
      </c>
      <c r="AK124">
        <v>8.7075404690384328E-3</v>
      </c>
      <c r="AL124">
        <v>1.1368396569585104E-2</v>
      </c>
      <c r="AM124" s="2">
        <v>0</v>
      </c>
      <c r="AN124">
        <v>6.6020472764032334E-3</v>
      </c>
      <c r="AO124" s="2">
        <v>0</v>
      </c>
      <c r="AP124" s="2">
        <v>0</v>
      </c>
      <c r="AQ124">
        <v>2.0228520233437353E-3</v>
      </c>
      <c r="AR124" s="2">
        <v>0</v>
      </c>
      <c r="AS124">
        <v>2.671374121638026E-2</v>
      </c>
      <c r="AT124" s="2">
        <v>0</v>
      </c>
      <c r="AU124">
        <v>2.6710540172924002</v>
      </c>
      <c r="AV124" s="5">
        <v>47.892809120000003</v>
      </c>
      <c r="AW124" s="6">
        <v>61.06666666666667</v>
      </c>
      <c r="AX124" s="6">
        <f t="shared" si="3"/>
        <v>4.1119661635719202</v>
      </c>
      <c r="AY124" s="5">
        <f t="shared" si="5"/>
        <v>5.4961018567389885</v>
      </c>
      <c r="AZ124" s="5">
        <f t="shared" si="4"/>
        <v>5.6457426101186314E-4</v>
      </c>
      <c r="BA124" s="5">
        <f>$C124-AY125</f>
        <v>-0.35551056394719982</v>
      </c>
      <c r="BB124">
        <v>0.85020600000000002</v>
      </c>
      <c r="BC124">
        <v>-1.4058876911379444E-3</v>
      </c>
      <c r="BD124">
        <v>8.8299999239999991</v>
      </c>
      <c r="BE124" s="5">
        <f>BD124-AY124</f>
        <v>3.3338980672610106</v>
      </c>
      <c r="BF124" s="5">
        <f>BD124-AY125</f>
        <v>2.9778229290527989</v>
      </c>
    </row>
    <row r="125" spans="1:58" x14ac:dyDescent="0.25">
      <c r="A125" t="s">
        <v>135</v>
      </c>
      <c r="B125">
        <v>0</v>
      </c>
      <c r="C125">
        <v>6.1100001339999999</v>
      </c>
      <c r="D125">
        <v>0</v>
      </c>
      <c r="E125">
        <v>0.36100000100000001</v>
      </c>
      <c r="F125">
        <v>3.983189512855938</v>
      </c>
      <c r="G125">
        <v>3.764195624673361</v>
      </c>
      <c r="H125">
        <v>3.7869918479103459</v>
      </c>
      <c r="I125">
        <v>3.485507892371674</v>
      </c>
      <c r="J125">
        <v>5.1612712330232924</v>
      </c>
      <c r="K125">
        <v>-0.22921015100222394</v>
      </c>
      <c r="L125">
        <v>124</v>
      </c>
      <c r="M125">
        <v>15376</v>
      </c>
      <c r="N125">
        <v>0</v>
      </c>
      <c r="O125" s="4">
        <v>3.9046559350825794</v>
      </c>
      <c r="P125" s="4">
        <v>3.7346412278105983</v>
      </c>
      <c r="Q125" s="4">
        <v>3.1573407887504041</v>
      </c>
      <c r="R125">
        <v>-3.9907965649963628E-2</v>
      </c>
      <c r="S125" s="5">
        <v>7.9390000000000001</v>
      </c>
      <c r="T125" s="5">
        <v>-3.6379999999999999</v>
      </c>
      <c r="U125">
        <f t="shared" si="6"/>
        <v>7.9390000000000002E-2</v>
      </c>
      <c r="V125">
        <f t="shared" si="7"/>
        <v>-3.6379999999999996E-2</v>
      </c>
      <c r="W125" s="1">
        <v>8306968333282600</v>
      </c>
      <c r="X125" s="2">
        <v>6.9571062860000001</v>
      </c>
      <c r="Y125" s="2">
        <v>6.9933796929999996</v>
      </c>
      <c r="Z125" s="2">
        <v>8.7014628490000003</v>
      </c>
      <c r="AA125" s="2">
        <v>0</v>
      </c>
      <c r="AB125">
        <v>1.63394711902215E-3</v>
      </c>
      <c r="AC125">
        <v>5.6805670146485299E-3</v>
      </c>
      <c r="AD125">
        <v>1.5305609036736501E-3</v>
      </c>
      <c r="AE125">
        <v>1.1297089025945728E-2</v>
      </c>
      <c r="AF125" s="2">
        <v>0</v>
      </c>
      <c r="AG125">
        <v>7.3145141336706798E-3</v>
      </c>
      <c r="AH125">
        <v>8.8450750373443299E-3</v>
      </c>
      <c r="AI125">
        <v>2.0142164063290058E-2</v>
      </c>
      <c r="AJ125" s="2">
        <v>0</v>
      </c>
      <c r="AK125">
        <v>7.2111279183221799E-3</v>
      </c>
      <c r="AL125">
        <v>1.8508216944267908E-2</v>
      </c>
      <c r="AM125" s="2">
        <v>0</v>
      </c>
      <c r="AN125">
        <v>1.2827649929619378E-2</v>
      </c>
      <c r="AO125" s="2">
        <v>0</v>
      </c>
      <c r="AP125" s="2">
        <v>0</v>
      </c>
      <c r="AQ125">
        <v>6.0908064191894651E-4</v>
      </c>
      <c r="AR125" s="2">
        <v>0</v>
      </c>
      <c r="AS125">
        <v>2.7322821858299207E-2</v>
      </c>
      <c r="AT125" s="2">
        <v>0</v>
      </c>
      <c r="AU125">
        <v>2.6701210636010999</v>
      </c>
      <c r="AV125" s="5">
        <v>48.941547450000002</v>
      </c>
      <c r="AW125" s="6">
        <v>61.966666666666669</v>
      </c>
      <c r="AX125" s="6">
        <f t="shared" si="3"/>
        <v>4.1265966060592882</v>
      </c>
      <c r="AY125" s="5">
        <f t="shared" si="5"/>
        <v>5.8521769949472002</v>
      </c>
      <c r="AZ125" s="5">
        <f t="shared" si="4"/>
        <v>0.25782313905279963</v>
      </c>
      <c r="BA125" s="5">
        <f>$C125-AY126</f>
        <v>-0.71683224080539176</v>
      </c>
      <c r="BB125">
        <v>0.90060399999999996</v>
      </c>
      <c r="BC125">
        <v>-6.0730919584777669E-4</v>
      </c>
      <c r="BD125">
        <v>8.9433336259999994</v>
      </c>
      <c r="BE125" s="5">
        <f>BD125-AY125</f>
        <v>3.0911566310527991</v>
      </c>
      <c r="BF125" s="5">
        <f>BD125-AY126</f>
        <v>2.1165012511946077</v>
      </c>
    </row>
    <row r="126" spans="1:58" x14ac:dyDescent="0.25">
      <c r="A126" t="s">
        <v>136</v>
      </c>
      <c r="B126">
        <v>0</v>
      </c>
      <c r="C126">
        <v>6.3933334349999997</v>
      </c>
      <c r="D126">
        <v>2.9</v>
      </c>
      <c r="E126">
        <v>0.368999988</v>
      </c>
      <c r="F126">
        <v>3.9848086751537939</v>
      </c>
      <c r="G126">
        <v>3.7675982088253273</v>
      </c>
      <c r="H126">
        <v>3.7984702259579213</v>
      </c>
      <c r="I126">
        <v>3.4938677165034635</v>
      </c>
      <c r="J126">
        <v>5.1649859539261804</v>
      </c>
      <c r="K126">
        <v>-0.21355382469978501</v>
      </c>
      <c r="L126">
        <v>125</v>
      </c>
      <c r="M126">
        <v>15625</v>
      </c>
      <c r="N126">
        <v>0</v>
      </c>
      <c r="O126" s="4">
        <v>3.9089181904746675</v>
      </c>
      <c r="P126" s="4">
        <v>3.7504918232414588</v>
      </c>
      <c r="Q126" s="4">
        <v>3.1304816741056056</v>
      </c>
      <c r="R126">
        <v>4.6879330528813747E-3</v>
      </c>
      <c r="S126" s="5">
        <v>3.9329999999999998</v>
      </c>
      <c r="T126" s="5">
        <v>-6.931</v>
      </c>
      <c r="U126">
        <f t="shared" si="6"/>
        <v>3.9329999999999997E-2</v>
      </c>
      <c r="V126">
        <f t="shared" si="7"/>
        <v>-6.9309999999999997E-2</v>
      </c>
      <c r="W126" s="1">
        <v>8312570564014290</v>
      </c>
      <c r="X126" s="2">
        <v>6.9559573810000002</v>
      </c>
      <c r="Y126" s="2">
        <v>7.0029859979999998</v>
      </c>
      <c r="Z126" s="2">
        <v>8.7049333739999994</v>
      </c>
      <c r="AA126" s="2">
        <v>0</v>
      </c>
      <c r="AB126">
        <v>6.026478528090129E-3</v>
      </c>
      <c r="AC126">
        <v>1.3853817445741434E-4</v>
      </c>
      <c r="AD126">
        <v>1.0924429575022487E-2</v>
      </c>
      <c r="AE126">
        <v>7.7601141736674539E-3</v>
      </c>
      <c r="AF126" s="2">
        <v>0</v>
      </c>
      <c r="AG126">
        <v>6.1650167025475433E-3</v>
      </c>
      <c r="AH126">
        <v>1.7089446277570031E-2</v>
      </c>
      <c r="AI126">
        <v>2.4849560451237485E-2</v>
      </c>
      <c r="AJ126" s="2">
        <v>0</v>
      </c>
      <c r="AK126">
        <v>1.1062967749479902E-2</v>
      </c>
      <c r="AL126">
        <v>1.8823081923147356E-2</v>
      </c>
      <c r="AM126" s="2">
        <v>0</v>
      </c>
      <c r="AN126">
        <v>1.8684543748689941E-2</v>
      </c>
      <c r="AO126" s="2">
        <v>0</v>
      </c>
      <c r="AP126" s="2">
        <v>0</v>
      </c>
      <c r="AQ126">
        <v>-1.7646821801394763E-3</v>
      </c>
      <c r="AR126" s="2">
        <v>0</v>
      </c>
      <c r="AS126">
        <v>2.555813967815973E-2</v>
      </c>
      <c r="AT126" s="2">
        <v>0</v>
      </c>
      <c r="AU126">
        <v>2.6765418721574501</v>
      </c>
      <c r="AV126" s="5">
        <v>49.660319809999997</v>
      </c>
      <c r="AW126" s="6">
        <v>63.033333333333331</v>
      </c>
      <c r="AX126" s="6">
        <f t="shared" si="3"/>
        <v>4.1436636869963017</v>
      </c>
      <c r="AY126" s="5">
        <f t="shared" si="5"/>
        <v>6.8268323748053916</v>
      </c>
      <c r="AZ126" s="5">
        <f t="shared" si="4"/>
        <v>-0.43349893980539189</v>
      </c>
      <c r="BA126" s="5">
        <f>$C126-AY127</f>
        <v>-2.6005095069131441</v>
      </c>
      <c r="BB126">
        <v>0.96500799999999998</v>
      </c>
      <c r="BC126">
        <v>6.1446535750938258E-3</v>
      </c>
      <c r="BD126">
        <v>9.1966667179999995</v>
      </c>
      <c r="BE126" s="5">
        <f>BD126-AY126</f>
        <v>2.3698343431946078</v>
      </c>
      <c r="BF126" s="5">
        <f>BD126-AY127</f>
        <v>0.20282377608685564</v>
      </c>
    </row>
    <row r="127" spans="1:58" x14ac:dyDescent="0.25">
      <c r="A127" t="s">
        <v>137</v>
      </c>
      <c r="B127">
        <v>0</v>
      </c>
      <c r="C127">
        <v>6.4766664509999998</v>
      </c>
      <c r="D127">
        <v>0</v>
      </c>
      <c r="E127">
        <v>0.368999988</v>
      </c>
      <c r="F127">
        <v>4.0114519641325348</v>
      </c>
      <c r="G127">
        <v>3.806195714180876</v>
      </c>
      <c r="H127">
        <v>3.8107081005733678</v>
      </c>
      <c r="I127">
        <v>3.563939619558087</v>
      </c>
      <c r="J127">
        <v>5.1931123943482547</v>
      </c>
      <c r="K127">
        <v>-0.21927623482115199</v>
      </c>
      <c r="L127">
        <v>126</v>
      </c>
      <c r="M127">
        <v>15876</v>
      </c>
      <c r="N127">
        <v>0</v>
      </c>
      <c r="O127" s="4">
        <v>3.916592549142516</v>
      </c>
      <c r="P127" s="4">
        <v>3.7654468992828147</v>
      </c>
      <c r="Q127" s="4">
        <v>3.2023805223390034</v>
      </c>
      <c r="R127">
        <v>1.6262679383658208E-2</v>
      </c>
      <c r="S127" s="5">
        <v>3.1960000000000002</v>
      </c>
      <c r="T127" s="5">
        <v>-2.6070000000000002</v>
      </c>
      <c r="U127">
        <f t="shared" si="6"/>
        <v>3.1960000000000002E-2</v>
      </c>
      <c r="V127">
        <f t="shared" si="7"/>
        <v>-2.6070000000000003E-2</v>
      </c>
      <c r="W127" s="1">
        <v>8333723856176540</v>
      </c>
      <c r="X127" s="2">
        <v>6.9808434999999998</v>
      </c>
      <c r="Y127" s="2">
        <v>7.0711321399999996</v>
      </c>
      <c r="Z127" s="2">
        <v>8.7430849629999994</v>
      </c>
      <c r="AA127" s="2">
        <v>0</v>
      </c>
      <c r="AB127">
        <v>-5.9297724093171356E-4</v>
      </c>
      <c r="AC127">
        <v>9.8386176608665221E-3</v>
      </c>
      <c r="AD127">
        <v>3.1580818418303069E-3</v>
      </c>
      <c r="AE127">
        <v>2.7649554802296472E-3</v>
      </c>
      <c r="AF127" s="2">
        <v>0</v>
      </c>
      <c r="AG127">
        <v>9.2456404199348086E-3</v>
      </c>
      <c r="AH127">
        <v>1.2403722261765115E-2</v>
      </c>
      <c r="AI127">
        <v>1.5168677741994763E-2</v>
      </c>
      <c r="AJ127" s="2">
        <v>0</v>
      </c>
      <c r="AK127">
        <v>1.2996699502696829E-2</v>
      </c>
      <c r="AL127">
        <v>1.5761654982926476E-2</v>
      </c>
      <c r="AM127" s="2">
        <v>0</v>
      </c>
      <c r="AN127">
        <v>5.9230373220599541E-3</v>
      </c>
      <c r="AO127" s="2">
        <v>0</v>
      </c>
      <c r="AP127" s="2">
        <v>0</v>
      </c>
      <c r="AQ127">
        <v>-5.6878442459931122E-3</v>
      </c>
      <c r="AR127" s="2">
        <v>0</v>
      </c>
      <c r="AS127">
        <v>1.9870295432166618E-2</v>
      </c>
      <c r="AT127" s="2">
        <v>0</v>
      </c>
      <c r="AU127">
        <v>2.6622120381618402</v>
      </c>
      <c r="AV127" s="5">
        <v>50.57248938</v>
      </c>
      <c r="AW127" s="6">
        <v>64.466666666666669</v>
      </c>
      <c r="AX127" s="6">
        <f t="shared" si="3"/>
        <v>4.1661482943510846</v>
      </c>
      <c r="AY127" s="5">
        <f t="shared" si="5"/>
        <v>8.9938429419131438</v>
      </c>
      <c r="AZ127" s="5">
        <f t="shared" si="4"/>
        <v>-2.517176490913144</v>
      </c>
      <c r="BA127" s="5">
        <f>$C127-AY128</f>
        <v>-2.7238413847303207</v>
      </c>
      <c r="BB127">
        <v>1.140771</v>
      </c>
      <c r="BC127">
        <v>4.3131201198629045E-3</v>
      </c>
      <c r="BD127">
        <v>9.4700002669999996</v>
      </c>
      <c r="BE127" s="5">
        <f>BD127-AY127</f>
        <v>0.47615732508685582</v>
      </c>
      <c r="BF127" s="5">
        <f>BD127-AY128</f>
        <v>0.26949243126967914</v>
      </c>
    </row>
    <row r="128" spans="1:58" x14ac:dyDescent="0.25">
      <c r="A128" t="s">
        <v>138</v>
      </c>
      <c r="B128">
        <v>0</v>
      </c>
      <c r="C128">
        <v>7.3133335109999997</v>
      </c>
      <c r="D128">
        <v>0</v>
      </c>
      <c r="E128">
        <v>0.368999988</v>
      </c>
      <c r="F128">
        <v>4.0193875117546698</v>
      </c>
      <c r="G128">
        <v>3.8159525366774125</v>
      </c>
      <c r="H128">
        <v>3.8180714487173533</v>
      </c>
      <c r="I128">
        <v>3.592258415509511</v>
      </c>
      <c r="J128">
        <v>5.19720337717653</v>
      </c>
      <c r="K128">
        <v>-0.21870474751268901</v>
      </c>
      <c r="L128">
        <v>127</v>
      </c>
      <c r="M128">
        <v>16129</v>
      </c>
      <c r="N128">
        <v>0</v>
      </c>
      <c r="O128" s="4">
        <v>3.9243269998843102</v>
      </c>
      <c r="P128" s="4">
        <v>3.772577013135503</v>
      </c>
      <c r="Q128" s="4">
        <v>3.1888289035159043</v>
      </c>
      <c r="R128">
        <v>3.2805678646282335E-3</v>
      </c>
      <c r="S128" s="5">
        <v>4.1369999999999996</v>
      </c>
      <c r="T128" s="5">
        <v>4.8289999999999997</v>
      </c>
      <c r="U128">
        <f t="shared" si="6"/>
        <v>4.1369999999999997E-2</v>
      </c>
      <c r="V128">
        <f t="shared" si="7"/>
        <v>4.829E-2</v>
      </c>
      <c r="W128" s="1">
        <v>8337914121561410</v>
      </c>
      <c r="X128" s="2">
        <v>6.9867056209999996</v>
      </c>
      <c r="Y128" s="2">
        <v>7.0732902859999998</v>
      </c>
      <c r="Z128" s="2">
        <v>8.7528185199999999</v>
      </c>
      <c r="AA128" s="2">
        <v>0</v>
      </c>
      <c r="AB128">
        <v>5.4878433110503999E-3</v>
      </c>
      <c r="AC128">
        <v>-3.2371659367013694E-3</v>
      </c>
      <c r="AD128">
        <v>-1.2380297537749052E-3</v>
      </c>
      <c r="AE128">
        <v>-1.1696532401978543E-3</v>
      </c>
      <c r="AF128" s="2">
        <v>0</v>
      </c>
      <c r="AG128">
        <v>2.2506773743490305E-3</v>
      </c>
      <c r="AH128">
        <v>1.0126476205741253E-3</v>
      </c>
      <c r="AI128">
        <v>-1.5700561962372905E-4</v>
      </c>
      <c r="AJ128" s="2">
        <v>0</v>
      </c>
      <c r="AK128">
        <v>-4.4751956904762746E-3</v>
      </c>
      <c r="AL128">
        <v>-5.644848930674129E-3</v>
      </c>
      <c r="AM128" s="2">
        <v>0</v>
      </c>
      <c r="AN128">
        <v>-2.4076829939727595E-3</v>
      </c>
      <c r="AO128" s="2">
        <v>0</v>
      </c>
      <c r="AP128" s="2">
        <v>0</v>
      </c>
      <c r="AQ128">
        <v>-1.0398233012536229E-2</v>
      </c>
      <c r="AR128" s="2">
        <v>0</v>
      </c>
      <c r="AS128">
        <v>9.4720624196303893E-3</v>
      </c>
      <c r="AT128" s="2">
        <v>0</v>
      </c>
      <c r="AU128">
        <v>2.67670023419711</v>
      </c>
      <c r="AV128" s="5">
        <v>51.413474239999999</v>
      </c>
      <c r="AW128" s="6">
        <v>65.966666666666669</v>
      </c>
      <c r="AX128" s="6">
        <f t="shared" si="3"/>
        <v>4.1891495639404104</v>
      </c>
      <c r="AY128" s="5">
        <f t="shared" si="5"/>
        <v>9.2005078357303205</v>
      </c>
      <c r="AZ128" s="5">
        <f t="shared" si="4"/>
        <v>-1.8871743247303208</v>
      </c>
      <c r="BA128" s="5">
        <f>$C128-AY129</f>
        <v>-1.8778800642295401</v>
      </c>
      <c r="BB128">
        <v>1.1040369999999999</v>
      </c>
      <c r="BC128">
        <v>-2.3502507244765455E-3</v>
      </c>
      <c r="BD128">
        <v>9.5</v>
      </c>
      <c r="BE128" s="5">
        <f>BD128-AY128</f>
        <v>0.29949216426967951</v>
      </c>
      <c r="BF128" s="5">
        <f>BD128-AY129</f>
        <v>0.30878642477046014</v>
      </c>
    </row>
    <row r="129" spans="1:58" x14ac:dyDescent="0.25">
      <c r="A129" t="s">
        <v>139</v>
      </c>
      <c r="B129">
        <v>0</v>
      </c>
      <c r="C129">
        <v>8.5699996949999999</v>
      </c>
      <c r="D129">
        <v>0</v>
      </c>
      <c r="E129">
        <v>0.368999988</v>
      </c>
      <c r="F129">
        <v>4.0284184121059337</v>
      </c>
      <c r="G129">
        <v>3.82907608460722</v>
      </c>
      <c r="H129">
        <v>3.8261172618006292</v>
      </c>
      <c r="I129">
        <v>3.6133743525831798</v>
      </c>
      <c r="J129">
        <v>5.2085184716742337</v>
      </c>
      <c r="K129">
        <v>-0.21662345382584408</v>
      </c>
      <c r="L129">
        <v>128</v>
      </c>
      <c r="M129">
        <v>16384</v>
      </c>
      <c r="N129">
        <v>0</v>
      </c>
      <c r="O129" s="4">
        <v>3.9371252901889746</v>
      </c>
      <c r="P129" s="4">
        <v>3.7777827902196695</v>
      </c>
      <c r="Q129" s="4">
        <v>3.1967120121664792</v>
      </c>
      <c r="R129">
        <v>-1.0574857591976218E-3</v>
      </c>
      <c r="S129" s="5">
        <v>4.3</v>
      </c>
      <c r="T129" s="5">
        <v>0.70599999999999996</v>
      </c>
      <c r="U129">
        <f t="shared" si="6"/>
        <v>4.2999999999999997E-2</v>
      </c>
      <c r="V129">
        <f t="shared" si="7"/>
        <v>7.0599999999999994E-3</v>
      </c>
      <c r="W129" s="1">
        <v>834595114948933</v>
      </c>
      <c r="X129" s="2">
        <v>6.994732205</v>
      </c>
      <c r="Y129" s="2">
        <v>7.0998558379999999</v>
      </c>
      <c r="Z129" s="2">
        <v>8.7661292379999995</v>
      </c>
      <c r="AA129" s="2">
        <v>0</v>
      </c>
      <c r="AB129">
        <v>2.4914438043488474E-4</v>
      </c>
      <c r="AC129">
        <v>-3.3215875755763791E-3</v>
      </c>
      <c r="AD129">
        <v>-5.0782152907552502E-4</v>
      </c>
      <c r="AE129">
        <v>1.1367863735674388E-2</v>
      </c>
      <c r="AF129" s="2">
        <v>0</v>
      </c>
      <c r="AG129">
        <v>-3.0724431951414943E-3</v>
      </c>
      <c r="AH129">
        <v>-3.5802647242170194E-3</v>
      </c>
      <c r="AI129">
        <v>7.787599011457369E-3</v>
      </c>
      <c r="AJ129" s="2">
        <v>0</v>
      </c>
      <c r="AK129">
        <v>-3.8294091046519041E-3</v>
      </c>
      <c r="AL129">
        <v>7.5384546310224843E-3</v>
      </c>
      <c r="AM129" s="2">
        <v>0</v>
      </c>
      <c r="AN129">
        <v>1.0860042206598863E-2</v>
      </c>
      <c r="AO129" s="2">
        <v>0</v>
      </c>
      <c r="AP129" s="2">
        <v>0</v>
      </c>
      <c r="AQ129">
        <v>-1.4217261106791446E-3</v>
      </c>
      <c r="AR129" s="2">
        <v>0</v>
      </c>
      <c r="AS129">
        <v>8.0503363089512447E-3</v>
      </c>
      <c r="AT129" s="2">
        <v>0</v>
      </c>
      <c r="AU129">
        <v>2.6622097715099402</v>
      </c>
      <c r="AV129" s="5">
        <v>52.498913520000002</v>
      </c>
      <c r="AW129" s="6">
        <v>67.5</v>
      </c>
      <c r="AX129" s="6">
        <f t="shared" si="3"/>
        <v>4.2121275978784842</v>
      </c>
      <c r="AY129" s="5">
        <f t="shared" si="5"/>
        <v>9.1912135752295399</v>
      </c>
      <c r="AZ129" s="5">
        <f t="shared" si="4"/>
        <v>-0.62121388022953994</v>
      </c>
      <c r="BA129" s="5">
        <f>$C129-AY130</f>
        <v>-1.3793062030559824</v>
      </c>
      <c r="BB129">
        <v>1.1054980000000001</v>
      </c>
      <c r="BC129">
        <v>9.1783644848276785E-5</v>
      </c>
      <c r="BD129">
        <v>9.7866668699999995</v>
      </c>
      <c r="BE129" s="5">
        <f>BD129-AY129</f>
        <v>0.59545329477045961</v>
      </c>
      <c r="BF129" s="5">
        <f>BD129-AY130</f>
        <v>-0.16263902805598285</v>
      </c>
    </row>
    <row r="130" spans="1:58" x14ac:dyDescent="0.25">
      <c r="A130" t="s">
        <v>140</v>
      </c>
      <c r="B130">
        <v>0</v>
      </c>
      <c r="C130">
        <v>9.3833332059999996</v>
      </c>
      <c r="D130">
        <v>-10.1</v>
      </c>
      <c r="E130">
        <v>0.38400000299999998</v>
      </c>
      <c r="F130">
        <v>4.0193875117546698</v>
      </c>
      <c r="G130">
        <v>3.8307478719631645</v>
      </c>
      <c r="H130">
        <v>3.8340847313634216</v>
      </c>
      <c r="I130">
        <v>3.6209485185733623</v>
      </c>
      <c r="J130">
        <v>5.2110641421338579</v>
      </c>
      <c r="K130">
        <v>-0.20577179230410941</v>
      </c>
      <c r="L130">
        <v>129</v>
      </c>
      <c r="M130">
        <v>16641</v>
      </c>
      <c r="N130">
        <v>4.552980132450331E-3</v>
      </c>
      <c r="O130" s="4">
        <v>3.9415429719641377</v>
      </c>
      <c r="P130" s="4">
        <v>3.7879099775768905</v>
      </c>
      <c r="Q130" s="4">
        <v>3.184822537543317</v>
      </c>
      <c r="R130">
        <v>4.6539587311148923E-3</v>
      </c>
      <c r="S130" s="5">
        <v>1.9</v>
      </c>
      <c r="T130" s="5">
        <v>-5.2919999999999998</v>
      </c>
      <c r="U130">
        <f t="shared" si="6"/>
        <v>1.9E-2</v>
      </c>
      <c r="V130">
        <f t="shared" si="7"/>
        <v>-5.2919999999999995E-2</v>
      </c>
      <c r="W130" s="1">
        <v>8351117119251980</v>
      </c>
      <c r="X130" s="2">
        <v>6.985735858</v>
      </c>
      <c r="Y130" s="2">
        <v>7.1177399049999996</v>
      </c>
      <c r="Z130" s="2">
        <v>8.7681231010000005</v>
      </c>
      <c r="AA130" s="2">
        <v>0</v>
      </c>
      <c r="AB130">
        <v>2.4894215910462592E-3</v>
      </c>
      <c r="AC130">
        <v>-1.8479806505666829E-3</v>
      </c>
      <c r="AD130">
        <v>1.0374997730646651E-2</v>
      </c>
      <c r="AE130">
        <v>2.7091177299434221E-3</v>
      </c>
      <c r="AF130" s="2">
        <v>0</v>
      </c>
      <c r="AG130">
        <v>6.4144094047957623E-4</v>
      </c>
      <c r="AH130">
        <v>1.1016438671126227E-2</v>
      </c>
      <c r="AI130">
        <v>1.372555640106965E-2</v>
      </c>
      <c r="AJ130" s="2">
        <v>0</v>
      </c>
      <c r="AK130">
        <v>8.5270170800799683E-3</v>
      </c>
      <c r="AL130">
        <v>1.123613481002339E-2</v>
      </c>
      <c r="AM130" s="2">
        <v>0</v>
      </c>
      <c r="AN130">
        <v>1.3084115460590073E-2</v>
      </c>
      <c r="AO130" s="2">
        <v>0</v>
      </c>
      <c r="AP130" s="2">
        <v>0</v>
      </c>
      <c r="AQ130">
        <v>-2.333025126518895E-3</v>
      </c>
      <c r="AR130" s="2">
        <v>0</v>
      </c>
      <c r="AS130">
        <v>5.7173111824323497E-3</v>
      </c>
      <c r="AT130" s="2">
        <v>0</v>
      </c>
      <c r="AU130">
        <v>2.6612357849466401</v>
      </c>
      <c r="AV130" s="5">
        <v>53.437316959999997</v>
      </c>
      <c r="AW130" s="6">
        <v>69.2</v>
      </c>
      <c r="AX130" s="6">
        <f t="shared" ref="AX130:AX193" si="8">LN(AW130)</f>
        <v>4.2370008626236242</v>
      </c>
      <c r="AY130" s="5">
        <f t="shared" si="5"/>
        <v>9.9493058980559823</v>
      </c>
      <c r="AZ130" s="5">
        <f t="shared" si="4"/>
        <v>-0.56597269205598266</v>
      </c>
      <c r="BA130" s="5">
        <f>$C130-AY131</f>
        <v>-3.1354694827659735</v>
      </c>
      <c r="BB130">
        <v>1.014135</v>
      </c>
      <c r="BC130">
        <v>1.0384773931718346E-2</v>
      </c>
      <c r="BD130">
        <v>10.15666676</v>
      </c>
      <c r="BE130" s="5">
        <f>BD130-AY130</f>
        <v>0.20736086194401793</v>
      </c>
      <c r="BF130" s="5">
        <f>BD130-AY131</f>
        <v>-2.3621359287659729</v>
      </c>
    </row>
    <row r="131" spans="1:58" x14ac:dyDescent="0.25">
      <c r="A131" t="s">
        <v>141</v>
      </c>
      <c r="B131">
        <v>0</v>
      </c>
      <c r="C131">
        <v>9.3766670229999995</v>
      </c>
      <c r="D131">
        <v>0</v>
      </c>
      <c r="E131">
        <v>0.38400000299999998</v>
      </c>
      <c r="F131">
        <v>4.0298949260230357</v>
      </c>
      <c r="G131">
        <v>3.831701925679365</v>
      </c>
      <c r="H131">
        <v>3.8372613789813039</v>
      </c>
      <c r="I131">
        <v>3.6131586435737959</v>
      </c>
      <c r="J131">
        <v>5.2100160670568876</v>
      </c>
      <c r="K131">
        <v>-0.21043924024478425</v>
      </c>
      <c r="L131">
        <v>130</v>
      </c>
      <c r="M131">
        <v>16900</v>
      </c>
      <c r="N131">
        <v>0</v>
      </c>
      <c r="O131" s="4">
        <v>3.9396187170189454</v>
      </c>
      <c r="P131" s="4">
        <v>3.7941174622680247</v>
      </c>
      <c r="Q131" s="4">
        <v>3.1619244484180622</v>
      </c>
      <c r="R131">
        <v>1.7416085217614442E-2</v>
      </c>
      <c r="S131" s="5">
        <v>-1.8</v>
      </c>
      <c r="T131" s="5">
        <v>-0.08</v>
      </c>
      <c r="U131">
        <f t="shared" si="6"/>
        <v>-1.8000000000000002E-2</v>
      </c>
      <c r="V131">
        <f t="shared" si="7"/>
        <v>-8.0000000000000004E-4</v>
      </c>
      <c r="W131" s="1">
        <v>8350467543720830</v>
      </c>
      <c r="X131" s="2">
        <v>6.9903037860000001</v>
      </c>
      <c r="Y131" s="2">
        <v>7.1150104120000002</v>
      </c>
      <c r="Z131" s="2">
        <v>8.7693361650000003</v>
      </c>
      <c r="AA131" s="2">
        <v>0</v>
      </c>
      <c r="AB131">
        <v>-3.6637901280199836E-3</v>
      </c>
      <c r="AC131">
        <v>8.8074139360210801E-3</v>
      </c>
      <c r="AD131">
        <v>2.9646500774200835E-3</v>
      </c>
      <c r="AE131">
        <v>1.1300699382992829E-3</v>
      </c>
      <c r="AF131" s="2">
        <v>0</v>
      </c>
      <c r="AG131">
        <v>5.1436238080010965E-3</v>
      </c>
      <c r="AH131">
        <v>8.10827388542118E-3</v>
      </c>
      <c r="AI131">
        <v>9.2383438237204629E-3</v>
      </c>
      <c r="AJ131" s="2">
        <v>0</v>
      </c>
      <c r="AK131">
        <v>1.1772064013441164E-2</v>
      </c>
      <c r="AL131">
        <v>1.2902133951740447E-2</v>
      </c>
      <c r="AM131" s="2">
        <v>0</v>
      </c>
      <c r="AN131">
        <v>4.0947200157193664E-3</v>
      </c>
      <c r="AO131" s="2">
        <v>0</v>
      </c>
      <c r="AP131" s="2">
        <v>0</v>
      </c>
      <c r="AQ131">
        <v>-1.3120514471489098E-3</v>
      </c>
      <c r="AR131" s="2">
        <v>0</v>
      </c>
      <c r="AS131">
        <v>4.4052597352834399E-3</v>
      </c>
      <c r="AT131" s="2">
        <v>0</v>
      </c>
      <c r="AU131">
        <v>2.65990076306141</v>
      </c>
      <c r="AV131" s="5">
        <v>54.753906499999999</v>
      </c>
      <c r="AW131" s="6">
        <v>71.400000000000006</v>
      </c>
      <c r="AX131" s="6">
        <f t="shared" si="8"/>
        <v>4.2682978693455391</v>
      </c>
      <c r="AY131" s="5">
        <f t="shared" si="5"/>
        <v>12.518802688765973</v>
      </c>
      <c r="AZ131" s="5">
        <f t="shared" ref="AZ131:AZ194" si="9">$C131-AY131</f>
        <v>-3.1421356657659736</v>
      </c>
      <c r="BA131" s="5">
        <f>$C131-AY132</f>
        <v>-3.305304916900905</v>
      </c>
      <c r="BB131">
        <v>0.97664600000000001</v>
      </c>
      <c r="BC131">
        <v>-1.2749157915978348E-4</v>
      </c>
      <c r="BD131">
        <v>10.393333439999999</v>
      </c>
      <c r="BE131" s="5">
        <f>BD131-AY131</f>
        <v>-2.1254692487659739</v>
      </c>
      <c r="BF131" s="5">
        <f>BD131-AY132</f>
        <v>-2.2886384999009053</v>
      </c>
    </row>
    <row r="132" spans="1:58" x14ac:dyDescent="0.25">
      <c r="A132" t="s">
        <v>142</v>
      </c>
      <c r="B132">
        <v>0</v>
      </c>
      <c r="C132">
        <v>9.6733331679999992</v>
      </c>
      <c r="D132">
        <v>0</v>
      </c>
      <c r="E132">
        <v>0.38400000299999998</v>
      </c>
      <c r="F132">
        <v>4.0313515128941786</v>
      </c>
      <c r="G132">
        <v>3.8388499806902314</v>
      </c>
      <c r="H132">
        <v>3.8441081881319001</v>
      </c>
      <c r="I132">
        <v>3.6311444034626978</v>
      </c>
      <c r="J132">
        <v>5.2235453277970452</v>
      </c>
      <c r="K132">
        <v>-0.20909829071651112</v>
      </c>
      <c r="L132">
        <v>131</v>
      </c>
      <c r="M132">
        <v>17161</v>
      </c>
      <c r="N132">
        <v>0</v>
      </c>
      <c r="O132" s="4">
        <v>3.9512437185814275</v>
      </c>
      <c r="P132" s="4">
        <v>3.7980925390872526</v>
      </c>
      <c r="Q132" s="4">
        <v>3.1894058186841696</v>
      </c>
      <c r="R132">
        <v>6.9841797292876122E-4</v>
      </c>
      <c r="S132" s="5">
        <v>3</v>
      </c>
      <c r="T132" s="5">
        <v>-2.706</v>
      </c>
      <c r="U132">
        <f t="shared" si="6"/>
        <v>0.03</v>
      </c>
      <c r="V132">
        <f t="shared" si="7"/>
        <v>-2.7060000000000001E-2</v>
      </c>
      <c r="W132" s="1">
        <v>8360151469885610</v>
      </c>
      <c r="X132" s="2">
        <v>6.996649584</v>
      </c>
      <c r="Y132" s="2">
        <v>7.1029199869999999</v>
      </c>
      <c r="Z132" s="2">
        <v>8.7764912210000006</v>
      </c>
      <c r="AA132" s="2">
        <v>0</v>
      </c>
      <c r="AB132">
        <v>7.7852558747124601E-3</v>
      </c>
      <c r="AC132">
        <v>1.3450307998841837E-3</v>
      </c>
      <c r="AD132">
        <v>3.6584893623087256E-4</v>
      </c>
      <c r="AE132">
        <v>2.60274612825806E-3</v>
      </c>
      <c r="AF132" s="2">
        <v>0</v>
      </c>
      <c r="AG132">
        <v>9.1302866745966438E-3</v>
      </c>
      <c r="AH132">
        <v>9.4961356108275163E-3</v>
      </c>
      <c r="AI132">
        <v>1.2098881739085576E-2</v>
      </c>
      <c r="AJ132" s="2">
        <v>0</v>
      </c>
      <c r="AK132">
        <v>1.7108797361150563E-3</v>
      </c>
      <c r="AL132">
        <v>4.3136258643731162E-3</v>
      </c>
      <c r="AM132" s="2">
        <v>0</v>
      </c>
      <c r="AN132">
        <v>2.9685950644889325E-3</v>
      </c>
      <c r="AO132" s="2">
        <v>0</v>
      </c>
      <c r="AP132" s="2">
        <v>0</v>
      </c>
      <c r="AQ132">
        <v>-2.3838402796043101E-3</v>
      </c>
      <c r="AR132" s="2">
        <v>0</v>
      </c>
      <c r="AS132">
        <v>2.0214194556791298E-3</v>
      </c>
      <c r="AT132" s="2">
        <v>0</v>
      </c>
      <c r="AU132">
        <v>2.6484907988615101</v>
      </c>
      <c r="AV132" s="5">
        <v>55.94121191</v>
      </c>
      <c r="AW132" s="6">
        <v>73.7</v>
      </c>
      <c r="AX132" s="6">
        <f t="shared" si="8"/>
        <v>4.3000027991952914</v>
      </c>
      <c r="AY132" s="5">
        <f t="shared" ref="AY132:AY195" si="10">400*(AX132-AX131)</f>
        <v>12.681971939900905</v>
      </c>
      <c r="AZ132" s="5">
        <f t="shared" si="9"/>
        <v>-3.0086387719009053</v>
      </c>
      <c r="BA132" s="5">
        <f>$C132-AY133</f>
        <v>-2.794283402776486</v>
      </c>
      <c r="BB132">
        <v>1.06826</v>
      </c>
      <c r="BC132">
        <v>-2.5377060305972125E-3</v>
      </c>
      <c r="BD132">
        <v>10.393333439999999</v>
      </c>
      <c r="BE132" s="5">
        <f>BD132-AY132</f>
        <v>-2.2886384999009053</v>
      </c>
      <c r="BF132" s="5">
        <f>BD132-AY133</f>
        <v>-2.074283130776486</v>
      </c>
    </row>
    <row r="133" spans="1:58" x14ac:dyDescent="0.25">
      <c r="A133" t="s">
        <v>143</v>
      </c>
      <c r="B133">
        <v>0</v>
      </c>
      <c r="C133">
        <v>11.84333324</v>
      </c>
      <c r="D133">
        <v>0</v>
      </c>
      <c r="E133">
        <v>0.38400000299999998</v>
      </c>
      <c r="F133">
        <v>4.0378447549826157</v>
      </c>
      <c r="G133">
        <v>3.8416005411316001</v>
      </c>
      <c r="H133">
        <v>3.8515393536249718</v>
      </c>
      <c r="I133">
        <v>3.6217776505732004</v>
      </c>
      <c r="J133">
        <v>5.2263486430309447</v>
      </c>
      <c r="K133">
        <v>-0.20418115235715659</v>
      </c>
      <c r="L133">
        <v>132</v>
      </c>
      <c r="M133">
        <v>17424</v>
      </c>
      <c r="N133">
        <v>0</v>
      </c>
      <c r="O133" s="4">
        <v>3.9565182453146974</v>
      </c>
      <c r="P133" s="4">
        <v>3.8066847117456319</v>
      </c>
      <c r="Q133" s="4">
        <v>3.1633208307458811</v>
      </c>
      <c r="R133">
        <v>-2.1854497499110611E-3</v>
      </c>
      <c r="S133" s="5">
        <v>0.9</v>
      </c>
      <c r="T133" s="5">
        <v>4.024</v>
      </c>
      <c r="U133">
        <f t="shared" si="6"/>
        <v>9.0000000000000011E-3</v>
      </c>
      <c r="V133">
        <f t="shared" si="7"/>
        <v>4.0239999999999998E-2</v>
      </c>
      <c r="W133" s="1">
        <v>8362636595883010</v>
      </c>
      <c r="X133" s="2">
        <v>7.011162948</v>
      </c>
      <c r="Y133" s="2">
        <v>7.1023492499999996</v>
      </c>
      <c r="Z133" s="2">
        <v>8.7790650269999997</v>
      </c>
      <c r="AA133" s="2">
        <v>0</v>
      </c>
      <c r="AB133">
        <v>1.1773599233921295E-3</v>
      </c>
      <c r="AC133">
        <v>-3.9160384041619922E-4</v>
      </c>
      <c r="AD133">
        <v>-8.8015962603166242E-4</v>
      </c>
      <c r="AE133">
        <v>1.1674199900018223E-2</v>
      </c>
      <c r="AF133" s="2">
        <v>0</v>
      </c>
      <c r="AG133">
        <v>7.8575608297593025E-4</v>
      </c>
      <c r="AH133">
        <v>-9.4403543055732175E-5</v>
      </c>
      <c r="AI133">
        <v>1.1579796356962491E-2</v>
      </c>
      <c r="AJ133" s="2">
        <v>0</v>
      </c>
      <c r="AK133">
        <v>-1.2717634664478616E-3</v>
      </c>
      <c r="AL133">
        <v>1.0402436433570361E-2</v>
      </c>
      <c r="AM133" s="2">
        <v>0</v>
      </c>
      <c r="AN133">
        <v>1.079404027398656E-2</v>
      </c>
      <c r="AO133" s="2">
        <v>0</v>
      </c>
      <c r="AP133" s="2">
        <v>0</v>
      </c>
      <c r="AQ133">
        <v>-4.2403585309367942E-3</v>
      </c>
      <c r="AR133" s="2">
        <v>0</v>
      </c>
      <c r="AS133">
        <v>-2.2189390752576643E-3</v>
      </c>
      <c r="AT133" s="2">
        <v>0</v>
      </c>
      <c r="AU133">
        <v>2.6379786315541001</v>
      </c>
      <c r="AV133" s="5">
        <v>57.068669530000001</v>
      </c>
      <c r="AW133" s="6">
        <v>76.033333333333331</v>
      </c>
      <c r="AX133" s="6">
        <f t="shared" si="8"/>
        <v>4.3311718406222326</v>
      </c>
      <c r="AY133" s="5">
        <f t="shared" si="10"/>
        <v>12.467616570776485</v>
      </c>
      <c r="AZ133" s="5">
        <f t="shared" si="9"/>
        <v>-0.62428333077648546</v>
      </c>
      <c r="BA133" s="5">
        <f>$C133-AY134</f>
        <v>-3.6358122724069446</v>
      </c>
      <c r="BB133">
        <v>1.2339990000000001</v>
      </c>
      <c r="BC133">
        <v>2.4046794493175526E-3</v>
      </c>
      <c r="BD133">
        <v>11.8166666</v>
      </c>
      <c r="BE133" s="5">
        <f>BD133-AY133</f>
        <v>-0.65094997077648564</v>
      </c>
      <c r="BF133" s="5">
        <f>BD133-AY134</f>
        <v>-3.6624789124069448</v>
      </c>
    </row>
    <row r="134" spans="1:58" x14ac:dyDescent="0.25">
      <c r="A134" t="s">
        <v>144</v>
      </c>
      <c r="B134">
        <v>1</v>
      </c>
      <c r="C134">
        <v>13.353333470000001</v>
      </c>
      <c r="D134">
        <v>1.7</v>
      </c>
      <c r="E134">
        <v>0.40000000600000002</v>
      </c>
      <c r="F134">
        <v>4.0538003069065196</v>
      </c>
      <c r="G134">
        <v>3.844814255734696</v>
      </c>
      <c r="H134">
        <v>3.8520538831749223</v>
      </c>
      <c r="I134">
        <v>3.607533814659984</v>
      </c>
      <c r="J134">
        <v>5.2230333184726794</v>
      </c>
      <c r="K134">
        <v>-0.19542977851782323</v>
      </c>
      <c r="L134">
        <v>133</v>
      </c>
      <c r="M134">
        <v>17689</v>
      </c>
      <c r="N134">
        <v>6.3585771226592466E-2</v>
      </c>
      <c r="O134" s="4">
        <v>3.9560207519057911</v>
      </c>
      <c r="P134" s="4">
        <v>3.8078173781854501</v>
      </c>
      <c r="Q134" s="4">
        <v>3.147465748579922</v>
      </c>
      <c r="R134">
        <v>2.7826035426975353E-2</v>
      </c>
      <c r="S134" s="5">
        <v>0.4</v>
      </c>
      <c r="T134" s="5">
        <v>4.899</v>
      </c>
      <c r="U134">
        <f t="shared" si="6"/>
        <v>4.0000000000000001E-3</v>
      </c>
      <c r="V134">
        <f t="shared" si="7"/>
        <v>4.8989999999999999E-2</v>
      </c>
      <c r="W134" s="1">
        <v>8361206059676280</v>
      </c>
      <c r="X134" s="2">
        <v>7.0298949439999996</v>
      </c>
      <c r="Y134" s="2">
        <v>7.1053574910000004</v>
      </c>
      <c r="Z134" s="2">
        <v>8.7823075169999996</v>
      </c>
      <c r="AA134" s="2">
        <v>0</v>
      </c>
      <c r="AB134">
        <v>2.3937849906029984E-3</v>
      </c>
      <c r="AC134">
        <v>6.8791220467360747E-3</v>
      </c>
      <c r="AD134">
        <v>1.6377799336703802E-2</v>
      </c>
      <c r="AE134">
        <v>7.4286876891459519E-3</v>
      </c>
      <c r="AF134" s="2">
        <v>0</v>
      </c>
      <c r="AG134">
        <v>9.2729070373390732E-3</v>
      </c>
      <c r="AH134">
        <v>2.5650706374042875E-2</v>
      </c>
      <c r="AI134">
        <v>3.3079394063188827E-2</v>
      </c>
      <c r="AJ134" s="2">
        <v>0</v>
      </c>
      <c r="AK134">
        <v>2.3256921383439877E-2</v>
      </c>
      <c r="AL134">
        <v>3.0685609072585829E-2</v>
      </c>
      <c r="AM134" s="2">
        <v>0</v>
      </c>
      <c r="AN134">
        <v>2.3806487025849754E-2</v>
      </c>
      <c r="AO134" s="2">
        <v>0</v>
      </c>
      <c r="AP134" s="2">
        <v>0</v>
      </c>
      <c r="AQ134">
        <v>1.2462881109453317E-2</v>
      </c>
      <c r="AR134" s="2">
        <v>0</v>
      </c>
      <c r="AS134">
        <v>1.0243942034195652E-2</v>
      </c>
      <c r="AT134" s="2">
        <v>0</v>
      </c>
      <c r="AU134">
        <v>2.5944711754333998</v>
      </c>
      <c r="AV134" s="5">
        <v>58.269518720000001</v>
      </c>
      <c r="AW134" s="6">
        <v>79.033333333333331</v>
      </c>
      <c r="AX134" s="6">
        <f t="shared" si="8"/>
        <v>4.36986970440325</v>
      </c>
      <c r="AY134" s="5">
        <f t="shared" si="10"/>
        <v>15.479145512406944</v>
      </c>
      <c r="AZ134" s="5">
        <f t="shared" si="9"/>
        <v>-2.1258120424069435</v>
      </c>
      <c r="BA134" s="5">
        <f>$C134-AY135</f>
        <v>7.9614484917106765E-2</v>
      </c>
      <c r="BB134">
        <v>1.3324720000000001</v>
      </c>
      <c r="BC134">
        <v>1.0859465263990493E-2</v>
      </c>
      <c r="BD134">
        <v>13.47999954</v>
      </c>
      <c r="BE134" s="5">
        <f>BD134-AY134</f>
        <v>-1.9991459724069447</v>
      </c>
      <c r="BF134" s="5">
        <f>BD134-AY135</f>
        <v>0.20628055491710562</v>
      </c>
    </row>
    <row r="135" spans="1:58" x14ac:dyDescent="0.25">
      <c r="A135" t="s">
        <v>145</v>
      </c>
      <c r="B135">
        <v>0</v>
      </c>
      <c r="C135">
        <v>9.6166667940000004</v>
      </c>
      <c r="D135">
        <v>8.1999999999999993</v>
      </c>
      <c r="E135">
        <v>0.40000000600000002</v>
      </c>
      <c r="F135">
        <v>4.0569022667462304</v>
      </c>
      <c r="G135">
        <v>3.8241094033740404</v>
      </c>
      <c r="H135">
        <v>3.842697662893106</v>
      </c>
      <c r="I135">
        <v>3.5165478313493295</v>
      </c>
      <c r="J135">
        <v>5.2107531094756503</v>
      </c>
      <c r="K135">
        <v>-0.1925085285774901</v>
      </c>
      <c r="L135">
        <v>134</v>
      </c>
      <c r="M135">
        <v>17956</v>
      </c>
      <c r="N135">
        <v>0</v>
      </c>
      <c r="O135" s="4">
        <v>3.9423970092831286</v>
      </c>
      <c r="P135" s="4">
        <v>3.8010467509846841</v>
      </c>
      <c r="Q135" s="4">
        <v>3.0333651883608419</v>
      </c>
      <c r="R135">
        <v>4.0219594613115014E-6</v>
      </c>
      <c r="S135" s="5">
        <v>0.6</v>
      </c>
      <c r="T135" s="5">
        <v>0.26</v>
      </c>
      <c r="U135">
        <f t="shared" si="6"/>
        <v>6.0000000000000001E-3</v>
      </c>
      <c r="V135">
        <f t="shared" si="7"/>
        <v>2.5999999999999999E-3</v>
      </c>
      <c r="W135" s="1">
        <v>833842770430503</v>
      </c>
      <c r="X135" s="2">
        <v>7.0340594410000001</v>
      </c>
      <c r="Y135" s="2">
        <v>7.0678537840000004</v>
      </c>
      <c r="Z135" s="2">
        <v>8.7618163940000002</v>
      </c>
      <c r="AA135" s="2">
        <v>0</v>
      </c>
      <c r="AB135">
        <v>6.6475701518916575E-3</v>
      </c>
      <c r="AC135">
        <v>1.7630423861144051E-2</v>
      </c>
      <c r="AD135">
        <v>7.6555149341089312E-3</v>
      </c>
      <c r="AE135">
        <v>8.409781258777449E-3</v>
      </c>
      <c r="AF135" s="2">
        <v>0</v>
      </c>
      <c r="AG135">
        <v>2.4277994013035709E-2</v>
      </c>
      <c r="AH135">
        <v>3.193350894714464E-2</v>
      </c>
      <c r="AI135">
        <v>4.0343290205922089E-2</v>
      </c>
      <c r="AJ135" s="2">
        <v>0</v>
      </c>
      <c r="AK135">
        <v>2.5285938795252982E-2</v>
      </c>
      <c r="AL135">
        <v>3.3695720054030431E-2</v>
      </c>
      <c r="AM135" s="2">
        <v>0</v>
      </c>
      <c r="AN135">
        <v>1.606529619288638E-2</v>
      </c>
      <c r="AO135" s="2">
        <v>0</v>
      </c>
      <c r="AP135" s="2">
        <v>0</v>
      </c>
      <c r="AQ135">
        <v>1.4794517694032283E-3</v>
      </c>
      <c r="AR135" s="2">
        <v>0</v>
      </c>
      <c r="AS135">
        <v>1.1723393803598881E-2</v>
      </c>
      <c r="AT135" s="2">
        <v>0</v>
      </c>
      <c r="AU135">
        <v>2.6649389312657501</v>
      </c>
      <c r="AV135" s="5">
        <v>59.573724669999997</v>
      </c>
      <c r="AW135" s="6">
        <v>81.7</v>
      </c>
      <c r="AX135" s="6">
        <f t="shared" si="8"/>
        <v>4.4030540018659572</v>
      </c>
      <c r="AY135" s="5">
        <f t="shared" si="10"/>
        <v>13.273718985082894</v>
      </c>
      <c r="AZ135" s="5">
        <f t="shared" si="9"/>
        <v>-3.6570521910828937</v>
      </c>
      <c r="BA135" s="5">
        <f>$C135-AY136</f>
        <v>2.1791040933357984</v>
      </c>
      <c r="BB135">
        <v>1.163043</v>
      </c>
      <c r="BC135">
        <v>-9.7719882184458921E-4</v>
      </c>
      <c r="BD135">
        <v>13.356666560000001</v>
      </c>
      <c r="BE135" s="5">
        <f>BD135-AY135</f>
        <v>8.2947574917106692E-2</v>
      </c>
      <c r="BF135" s="5">
        <f>BD135-AY136</f>
        <v>5.9191038593357987</v>
      </c>
    </row>
    <row r="136" spans="1:58" x14ac:dyDescent="0.25">
      <c r="A136" t="s">
        <v>146</v>
      </c>
      <c r="B136">
        <v>0</v>
      </c>
      <c r="C136">
        <v>9.1533336639999998</v>
      </c>
      <c r="D136">
        <v>0</v>
      </c>
      <c r="E136">
        <v>0.40000000600000002</v>
      </c>
      <c r="F136">
        <v>4.0430161794996637</v>
      </c>
      <c r="G136">
        <v>3.8222514590369139</v>
      </c>
      <c r="H136">
        <v>3.8487112630097533</v>
      </c>
      <c r="I136">
        <v>3.5263605246161616</v>
      </c>
      <c r="J136">
        <v>5.2076757719209503</v>
      </c>
      <c r="K136">
        <v>-0.1907477851094429</v>
      </c>
      <c r="L136">
        <v>135</v>
      </c>
      <c r="M136">
        <v>18225</v>
      </c>
      <c r="N136">
        <v>0</v>
      </c>
      <c r="O136" s="4">
        <v>3.9399299586811538</v>
      </c>
      <c r="P136" s="4">
        <v>3.8120700646691348</v>
      </c>
      <c r="Q136" s="4">
        <v>3.0767591121963642</v>
      </c>
      <c r="R136">
        <v>-4.798844636187044E-3</v>
      </c>
      <c r="S136" s="5">
        <v>-0.5</v>
      </c>
      <c r="T136" s="5">
        <v>-1.6180000000000001</v>
      </c>
      <c r="U136">
        <f t="shared" si="6"/>
        <v>-5.0000000000000001E-3</v>
      </c>
      <c r="V136">
        <f t="shared" si="7"/>
        <v>-1.618E-2</v>
      </c>
      <c r="W136" s="1">
        <v>8349337458246020</v>
      </c>
      <c r="X136" s="2">
        <v>7.0151202049999997</v>
      </c>
      <c r="Y136" s="2">
        <v>7.0398421210000004</v>
      </c>
      <c r="Z136" s="2">
        <v>8.7602962200000007</v>
      </c>
      <c r="AA136" s="2">
        <v>0</v>
      </c>
      <c r="AB136">
        <v>2.2554996979096298E-2</v>
      </c>
      <c r="AC136">
        <v>1.1536874620506177E-2</v>
      </c>
      <c r="AD136">
        <v>1.0849368466672449E-2</v>
      </c>
      <c r="AE136">
        <v>1.3171503212725977E-2</v>
      </c>
      <c r="AF136" s="2">
        <v>0</v>
      </c>
      <c r="AG136">
        <v>3.4091871599602475E-2</v>
      </c>
      <c r="AH136">
        <v>4.4941240066274923E-2</v>
      </c>
      <c r="AI136">
        <v>5.81127432790009E-2</v>
      </c>
      <c r="AJ136" s="2">
        <v>0</v>
      </c>
      <c r="AK136">
        <v>2.2386243087178626E-2</v>
      </c>
      <c r="AL136">
        <v>3.5557746299904602E-2</v>
      </c>
      <c r="AM136" s="2">
        <v>0</v>
      </c>
      <c r="AN136">
        <v>2.4020871679398426E-2</v>
      </c>
      <c r="AO136" s="2">
        <v>0</v>
      </c>
      <c r="AP136" s="2">
        <v>0</v>
      </c>
      <c r="AQ136">
        <v>6.3209468942922453E-3</v>
      </c>
      <c r="AR136" s="2">
        <v>0</v>
      </c>
      <c r="AS136">
        <v>1.8044340697891126E-2</v>
      </c>
      <c r="AT136" s="2">
        <v>0</v>
      </c>
      <c r="AU136">
        <v>2.6319952473878199</v>
      </c>
      <c r="AV136" s="5">
        <v>60.935961669999998</v>
      </c>
      <c r="AW136" s="6">
        <v>83.233333333333334</v>
      </c>
      <c r="AX136" s="6">
        <f t="shared" si="8"/>
        <v>4.4216479086176177</v>
      </c>
      <c r="AY136" s="5">
        <f t="shared" si="10"/>
        <v>7.437562700664202</v>
      </c>
      <c r="AZ136" s="5">
        <f t="shared" si="9"/>
        <v>1.7157709633357978</v>
      </c>
      <c r="BA136" s="5">
        <f>$C136-AY137</f>
        <v>-1.9058225725467413</v>
      </c>
      <c r="BB136">
        <v>1.2223980000000001</v>
      </c>
      <c r="BC136">
        <v>-9.7920540415187204E-4</v>
      </c>
      <c r="BD136">
        <v>13.16666603</v>
      </c>
      <c r="BE136" s="5">
        <f>BD136-AY136</f>
        <v>5.729103329335798</v>
      </c>
      <c r="BF136" s="5">
        <f>BD136-AY137</f>
        <v>2.107509793453259</v>
      </c>
    </row>
    <row r="137" spans="1:58" x14ac:dyDescent="0.25">
      <c r="A137" t="s">
        <v>147</v>
      </c>
      <c r="B137">
        <v>0</v>
      </c>
      <c r="C137">
        <v>13.61333275</v>
      </c>
      <c r="D137">
        <v>0</v>
      </c>
      <c r="E137">
        <v>0.40000000600000002</v>
      </c>
      <c r="F137">
        <v>4.0419980818498917</v>
      </c>
      <c r="G137">
        <v>3.840569967354369</v>
      </c>
      <c r="H137">
        <v>3.8595025826369453</v>
      </c>
      <c r="I137">
        <v>3.5653266804856085</v>
      </c>
      <c r="J137">
        <v>5.2183429898732179</v>
      </c>
      <c r="K137">
        <v>-0.19061888670383847</v>
      </c>
      <c r="L137">
        <v>136</v>
      </c>
      <c r="M137">
        <v>18496</v>
      </c>
      <c r="N137">
        <v>0</v>
      </c>
      <c r="O137" s="4">
        <v>3.9438510755926979</v>
      </c>
      <c r="P137" s="4">
        <v>3.8269007520113112</v>
      </c>
      <c r="Q137" s="4">
        <v>3.1067815773292855</v>
      </c>
      <c r="R137">
        <v>-9.4781798143366933E-3</v>
      </c>
      <c r="S137" s="5">
        <v>-0.2</v>
      </c>
      <c r="T137" s="5">
        <v>3.0049999999999999</v>
      </c>
      <c r="U137">
        <f t="shared" si="6"/>
        <v>-2E-3</v>
      </c>
      <c r="V137">
        <f t="shared" si="7"/>
        <v>3.005E-2</v>
      </c>
      <c r="W137" s="1">
        <v>8362757737711410</v>
      </c>
      <c r="X137" s="2">
        <v>7.0238399319999996</v>
      </c>
      <c r="Y137" s="2">
        <v>7.0803542640000003</v>
      </c>
      <c r="Z137" s="2">
        <v>8.7786493510000003</v>
      </c>
      <c r="AA137" s="2">
        <v>0</v>
      </c>
      <c r="AB137">
        <v>8.0809263965796463E-3</v>
      </c>
      <c r="AC137">
        <v>1.3254681815003388E-2</v>
      </c>
      <c r="AD137">
        <v>1.3818360673871877E-2</v>
      </c>
      <c r="AE137">
        <v>2.4841709703772308E-2</v>
      </c>
      <c r="AF137" s="2">
        <v>0</v>
      </c>
      <c r="AG137">
        <v>2.1335608211583035E-2</v>
      </c>
      <c r="AH137">
        <v>3.5153968885454911E-2</v>
      </c>
      <c r="AI137">
        <v>5.9995678589227219E-2</v>
      </c>
      <c r="AJ137" s="2">
        <v>0</v>
      </c>
      <c r="AK137">
        <v>2.7073042488875265E-2</v>
      </c>
      <c r="AL137">
        <v>5.1914752192647573E-2</v>
      </c>
      <c r="AM137" s="2">
        <v>0</v>
      </c>
      <c r="AN137">
        <v>3.8660070377644185E-2</v>
      </c>
      <c r="AO137" s="2">
        <v>0</v>
      </c>
      <c r="AP137" s="2">
        <v>0</v>
      </c>
      <c r="AQ137">
        <v>3.0521708094768396E-3</v>
      </c>
      <c r="AR137" s="2">
        <v>0</v>
      </c>
      <c r="AS137">
        <v>2.1096511507367965E-2</v>
      </c>
      <c r="AT137" s="2">
        <v>0</v>
      </c>
      <c r="AU137">
        <v>2.6241832185080698</v>
      </c>
      <c r="AV137" s="5">
        <v>62.624591850000002</v>
      </c>
      <c r="AW137" s="6">
        <v>85.566666666666663</v>
      </c>
      <c r="AX137" s="6">
        <f t="shared" si="8"/>
        <v>4.4492957992089845</v>
      </c>
      <c r="AY137" s="5">
        <f t="shared" si="10"/>
        <v>11.059156236546741</v>
      </c>
      <c r="AZ137" s="5">
        <f t="shared" si="9"/>
        <v>2.5541765134532586</v>
      </c>
      <c r="BA137" s="5">
        <f>$C137-AY138</f>
        <v>2.7000717875518649</v>
      </c>
      <c r="BB137">
        <v>1.351877</v>
      </c>
      <c r="BC137">
        <v>4.5855938745762524E-3</v>
      </c>
      <c r="BD137">
        <v>14.670000079999999</v>
      </c>
      <c r="BE137" s="5">
        <f>BD137-AY137</f>
        <v>3.6108438434532584</v>
      </c>
      <c r="BF137" s="5">
        <f>BD137-AY138</f>
        <v>3.7567391175518647</v>
      </c>
    </row>
    <row r="138" spans="1:58" x14ac:dyDescent="0.25">
      <c r="A138" t="s">
        <v>148</v>
      </c>
      <c r="B138">
        <v>0</v>
      </c>
      <c r="C138">
        <v>14.39000034</v>
      </c>
      <c r="D138">
        <v>21.3</v>
      </c>
      <c r="E138">
        <v>0.418000013</v>
      </c>
      <c r="F138">
        <v>4.0551878470209068</v>
      </c>
      <c r="G138">
        <v>3.8611506750543896</v>
      </c>
      <c r="H138">
        <v>3.8602542868865455</v>
      </c>
      <c r="I138">
        <v>3.5726264972896864</v>
      </c>
      <c r="J138">
        <v>5.2217872325580874</v>
      </c>
      <c r="K138">
        <v>-0.19093588762327876</v>
      </c>
      <c r="L138">
        <v>137</v>
      </c>
      <c r="M138">
        <v>18769</v>
      </c>
      <c r="N138">
        <v>2.5554831406716289E-2</v>
      </c>
      <c r="O138" s="4">
        <v>3.9526465802645174</v>
      </c>
      <c r="P138" s="4">
        <v>3.8250698085642019</v>
      </c>
      <c r="Q138" s="4">
        <v>3.1347548122027935</v>
      </c>
      <c r="R138">
        <v>1.0721933592598445E-2</v>
      </c>
      <c r="S138" s="5">
        <v>-0.2</v>
      </c>
      <c r="T138" s="5">
        <v>4.548</v>
      </c>
      <c r="U138">
        <f t="shared" si="6"/>
        <v>-2E-3</v>
      </c>
      <c r="V138">
        <f t="shared" si="7"/>
        <v>4.548E-2</v>
      </c>
      <c r="W138" s="1">
        <v>8366102126190930</v>
      </c>
      <c r="X138" s="2">
        <v>7.0363587890000003</v>
      </c>
      <c r="Y138" s="2">
        <v>7.1408814329999997</v>
      </c>
      <c r="Z138" s="2">
        <v>8.7991488990000004</v>
      </c>
      <c r="AA138" s="2">
        <v>0</v>
      </c>
      <c r="AB138">
        <v>9.5641512724833899E-3</v>
      </c>
      <c r="AC138">
        <v>6.8273337644965126E-3</v>
      </c>
      <c r="AD138">
        <v>2.3596165348553633E-2</v>
      </c>
      <c r="AE138">
        <v>1.6419073904912512E-2</v>
      </c>
      <c r="AF138" s="2">
        <v>0</v>
      </c>
      <c r="AG138">
        <v>1.6391485036979903E-2</v>
      </c>
      <c r="AH138">
        <v>3.9987650385533535E-2</v>
      </c>
      <c r="AI138">
        <v>5.6406724290446048E-2</v>
      </c>
      <c r="AJ138" s="2">
        <v>0</v>
      </c>
      <c r="AK138">
        <v>3.0423499113050145E-2</v>
      </c>
      <c r="AL138">
        <v>4.6842573017962658E-2</v>
      </c>
      <c r="AM138" s="2">
        <v>0</v>
      </c>
      <c r="AN138">
        <v>4.0015239253466145E-2</v>
      </c>
      <c r="AO138" s="2">
        <v>0</v>
      </c>
      <c r="AP138" s="2">
        <v>0</v>
      </c>
      <c r="AQ138">
        <v>-8.2365712645940392E-3</v>
      </c>
      <c r="AR138" s="2">
        <v>0</v>
      </c>
      <c r="AS138">
        <v>1.2859940242773926E-2</v>
      </c>
      <c r="AT138" s="2">
        <v>0</v>
      </c>
      <c r="AU138">
        <v>2.6366277661793802</v>
      </c>
      <c r="AV138" s="5">
        <v>64.212962959999999</v>
      </c>
      <c r="AW138" s="6">
        <v>87.933333333333337</v>
      </c>
      <c r="AX138" s="6">
        <f t="shared" si="8"/>
        <v>4.4765789516151049</v>
      </c>
      <c r="AY138" s="5">
        <f t="shared" si="10"/>
        <v>10.913260962448135</v>
      </c>
      <c r="AZ138" s="5">
        <f t="shared" si="9"/>
        <v>3.4767393775518656</v>
      </c>
      <c r="BA138" s="5">
        <f>$C138-AY139</f>
        <v>6.1360965262644811</v>
      </c>
      <c r="BB138">
        <v>1.2350639999999999</v>
      </c>
      <c r="BC138">
        <v>1.0230578030245616E-2</v>
      </c>
      <c r="BD138">
        <v>15.24666691</v>
      </c>
      <c r="BE138" s="5">
        <f>BD138-AY138</f>
        <v>4.3334059475518654</v>
      </c>
      <c r="BF138" s="5">
        <f>BD138-AY139</f>
        <v>6.9927630962644809</v>
      </c>
    </row>
    <row r="139" spans="1:58" x14ac:dyDescent="0.25">
      <c r="A139" t="s">
        <v>149</v>
      </c>
      <c r="B139">
        <v>0</v>
      </c>
      <c r="C139">
        <v>14.906665800000001</v>
      </c>
      <c r="D139">
        <v>0</v>
      </c>
      <c r="E139">
        <v>0.418000013</v>
      </c>
      <c r="F139">
        <v>4.0574212081175025</v>
      </c>
      <c r="G139">
        <v>3.853143110689857</v>
      </c>
      <c r="H139">
        <v>3.8660592647579275</v>
      </c>
      <c r="I139">
        <v>3.5792040873048356</v>
      </c>
      <c r="J139">
        <v>5.2164943250202533</v>
      </c>
      <c r="K139">
        <v>-0.1914934535758184</v>
      </c>
      <c r="L139">
        <v>138</v>
      </c>
      <c r="M139">
        <v>19044</v>
      </c>
      <c r="N139">
        <v>0</v>
      </c>
      <c r="O139" s="4">
        <v>3.9570728499818548</v>
      </c>
      <c r="P139" s="4">
        <v>3.8316585793421241</v>
      </c>
      <c r="Q139" s="4">
        <v>3.0950797470546894</v>
      </c>
      <c r="R139">
        <v>2.0192371512362736E-2</v>
      </c>
      <c r="S139" s="5">
        <v>0.1</v>
      </c>
      <c r="T139" s="5">
        <v>-4.9139999999999997</v>
      </c>
      <c r="U139">
        <f t="shared" si="6"/>
        <v>1E-3</v>
      </c>
      <c r="V139">
        <f t="shared" si="7"/>
        <v>-4.9139999999999996E-2</v>
      </c>
      <c r="W139" s="1">
        <v>8366174933761370</v>
      </c>
      <c r="X139" s="2">
        <v>7.0360165400000003</v>
      </c>
      <c r="Y139" s="2">
        <v>7.1412125680000003</v>
      </c>
      <c r="Z139" s="2">
        <v>8.7918204190000004</v>
      </c>
      <c r="AA139" s="2">
        <v>0</v>
      </c>
      <c r="AB139">
        <v>1.4454209255236355E-2</v>
      </c>
      <c r="AC139">
        <v>2.9410255359078874E-2</v>
      </c>
      <c r="AD139">
        <v>1.3489074763288283E-2</v>
      </c>
      <c r="AE139">
        <v>1.2703204429299786E-2</v>
      </c>
      <c r="AF139" s="2">
        <v>0</v>
      </c>
      <c r="AG139">
        <v>4.3864464614315229E-2</v>
      </c>
      <c r="AH139">
        <v>5.7353539377603513E-2</v>
      </c>
      <c r="AI139">
        <v>7.0056743806903299E-2</v>
      </c>
      <c r="AJ139" s="2">
        <v>0</v>
      </c>
      <c r="AK139">
        <v>4.2899330122367157E-2</v>
      </c>
      <c r="AL139">
        <v>5.5602534551666943E-2</v>
      </c>
      <c r="AM139" s="2">
        <v>0</v>
      </c>
      <c r="AN139">
        <v>2.6192279192588069E-2</v>
      </c>
      <c r="AO139" s="2">
        <v>0</v>
      </c>
      <c r="AP139" s="2">
        <v>0</v>
      </c>
      <c r="AQ139">
        <v>2.8840908689010125E-3</v>
      </c>
      <c r="AR139" s="2">
        <v>0</v>
      </c>
      <c r="AS139">
        <v>1.5744031111674939E-2</v>
      </c>
      <c r="AT139" s="2">
        <v>0</v>
      </c>
      <c r="AU139">
        <v>2.6132016566171798</v>
      </c>
      <c r="AV139" s="5">
        <v>65.427122890000007</v>
      </c>
      <c r="AW139" s="6">
        <v>89.766666666666666</v>
      </c>
      <c r="AX139" s="6">
        <f t="shared" si="8"/>
        <v>4.4972137111494437</v>
      </c>
      <c r="AY139" s="5">
        <f t="shared" si="10"/>
        <v>8.2539038137355192</v>
      </c>
      <c r="AZ139" s="5">
        <f t="shared" si="9"/>
        <v>6.6527619862644816</v>
      </c>
      <c r="BA139" s="5">
        <f>$C139-AY140</f>
        <v>3.9189762296154829</v>
      </c>
      <c r="BB139">
        <v>1.1864440000000001</v>
      </c>
      <c r="BC139">
        <v>5.1105145688673161E-3</v>
      </c>
      <c r="BD139">
        <v>15.77000046</v>
      </c>
      <c r="BE139" s="5">
        <f>BD139-AY139</f>
        <v>7.5160966462644812</v>
      </c>
      <c r="BF139" s="5">
        <f>BD139-AY140</f>
        <v>4.7823108896154825</v>
      </c>
    </row>
    <row r="140" spans="1:58" x14ac:dyDescent="0.25">
      <c r="A140" t="s">
        <v>150</v>
      </c>
      <c r="B140">
        <v>0</v>
      </c>
      <c r="C140">
        <v>15.05333328</v>
      </c>
      <c r="D140">
        <v>-8.9</v>
      </c>
      <c r="E140">
        <v>0.418000013</v>
      </c>
      <c r="F140">
        <v>4.0551531819719386</v>
      </c>
      <c r="G140">
        <v>3.8652038974505496</v>
      </c>
      <c r="H140">
        <v>3.8663634851751723</v>
      </c>
      <c r="I140">
        <v>3.5793156726537951</v>
      </c>
      <c r="J140">
        <v>5.2123835905560219</v>
      </c>
      <c r="K140">
        <v>-0.1881590776712706</v>
      </c>
      <c r="L140">
        <v>139</v>
      </c>
      <c r="M140">
        <v>19321</v>
      </c>
      <c r="N140">
        <v>0</v>
      </c>
      <c r="O140" s="4">
        <v>3.9592881978952601</v>
      </c>
      <c r="P140" s="4">
        <v>3.8308129500026027</v>
      </c>
      <c r="Q140" s="4">
        <v>3.1250485450240473</v>
      </c>
      <c r="R140">
        <v>-5.9532855727332055E-3</v>
      </c>
      <c r="S140" s="5">
        <v>-0.3</v>
      </c>
      <c r="T140" s="5">
        <v>-0.114</v>
      </c>
      <c r="U140">
        <f t="shared" si="6"/>
        <v>-3.0000000000000001E-3</v>
      </c>
      <c r="V140">
        <f t="shared" si="7"/>
        <v>-1.14E-3</v>
      </c>
      <c r="W140" s="1">
        <v>8370790055050130</v>
      </c>
      <c r="X140" s="2">
        <v>7.0243788890000003</v>
      </c>
      <c r="Y140" s="2">
        <v>7.1353177140000001</v>
      </c>
      <c r="Z140" s="2">
        <v>8.8032289089999995</v>
      </c>
      <c r="AA140" s="2">
        <v>0</v>
      </c>
      <c r="AB140">
        <v>3.7115027051475282E-3</v>
      </c>
      <c r="AC140">
        <v>1.3628912643305621E-2</v>
      </c>
      <c r="AD140">
        <v>3.0243652288168992E-3</v>
      </c>
      <c r="AE140">
        <v>1.0938280625789561E-2</v>
      </c>
      <c r="AF140">
        <v>-1.4391938748677864E-3</v>
      </c>
      <c r="AG140">
        <v>1.734041534845315E-2</v>
      </c>
      <c r="AH140">
        <v>2.036478057727005E-2</v>
      </c>
      <c r="AI140">
        <v>3.1303061203059611E-2</v>
      </c>
      <c r="AJ140">
        <v>2.9863867328191823E-2</v>
      </c>
      <c r="AK140">
        <v>1.6653277872122521E-2</v>
      </c>
      <c r="AL140">
        <v>2.7591558497912082E-2</v>
      </c>
      <c r="AM140">
        <v>2.6152364623044294E-2</v>
      </c>
      <c r="AN140">
        <v>1.3962645854606459E-2</v>
      </c>
      <c r="AO140">
        <v>1.2523451979738674E-2</v>
      </c>
      <c r="AP140">
        <v>9.4990867509217747E-3</v>
      </c>
      <c r="AQ140">
        <v>-9.5390013204655483E-3</v>
      </c>
      <c r="AR140" s="2">
        <v>0</v>
      </c>
      <c r="AS140">
        <v>6.2050297912093905E-3</v>
      </c>
      <c r="AT140" s="2">
        <v>0</v>
      </c>
      <c r="AU140">
        <v>2.5950894970827401</v>
      </c>
      <c r="AV140" s="5">
        <v>66.585626559999994</v>
      </c>
      <c r="AW140" s="6">
        <v>92.266666666666666</v>
      </c>
      <c r="AX140" s="6">
        <f t="shared" si="8"/>
        <v>4.524682935075405</v>
      </c>
      <c r="AY140" s="5">
        <f t="shared" si="10"/>
        <v>10.987689570384518</v>
      </c>
      <c r="AZ140" s="5">
        <f t="shared" si="9"/>
        <v>4.0656437096154825</v>
      </c>
      <c r="BA140" s="5">
        <f>$C140-AY141</f>
        <v>8.602736579081391</v>
      </c>
      <c r="BB140">
        <v>1.069933</v>
      </c>
      <c r="BC140">
        <v>-3.8472284911425791E-3</v>
      </c>
      <c r="BD140">
        <v>16.4766674</v>
      </c>
      <c r="BE140" s="5">
        <f>BD140-AY140</f>
        <v>5.4889778296154823</v>
      </c>
      <c r="BF140" s="5">
        <f>BD140-AY141</f>
        <v>10.026070699081391</v>
      </c>
    </row>
    <row r="141" spans="1:58" x14ac:dyDescent="0.25">
      <c r="A141" t="s">
        <v>151</v>
      </c>
      <c r="B141">
        <v>0</v>
      </c>
      <c r="C141">
        <v>11.75</v>
      </c>
      <c r="D141">
        <v>0</v>
      </c>
      <c r="E141">
        <v>0.418000013</v>
      </c>
      <c r="F141">
        <v>4.0643148157704045</v>
      </c>
      <c r="G141">
        <v>3.8526763167072668</v>
      </c>
      <c r="H141">
        <v>3.8682510279419762</v>
      </c>
      <c r="I141">
        <v>3.5756547633993083</v>
      </c>
      <c r="J141">
        <v>5.2176115223814232</v>
      </c>
      <c r="K141">
        <v>-0.18912174856321412</v>
      </c>
      <c r="L141">
        <v>140</v>
      </c>
      <c r="M141">
        <v>19600</v>
      </c>
      <c r="N141">
        <v>0</v>
      </c>
      <c r="O141" s="4">
        <v>3.9631152796124893</v>
      </c>
      <c r="P141" s="4">
        <v>3.8315935563131114</v>
      </c>
      <c r="Q141" s="4">
        <v>3.0505045094009704</v>
      </c>
      <c r="R141">
        <v>-2.9797100665405352E-3</v>
      </c>
      <c r="S141" s="5">
        <v>2.21</v>
      </c>
      <c r="T141" s="5">
        <v>4.7610000000000001</v>
      </c>
      <c r="U141">
        <f t="shared" si="6"/>
        <v>2.2099999999999998E-2</v>
      </c>
      <c r="V141">
        <f t="shared" si="7"/>
        <v>4.761E-2</v>
      </c>
      <c r="W141" s="1">
        <v>8363926387522200</v>
      </c>
      <c r="X141" s="2">
        <v>7.0428980499999998</v>
      </c>
      <c r="Y141" s="2">
        <v>7.1028429949999996</v>
      </c>
      <c r="Z141" s="2">
        <v>8.7914860269999995</v>
      </c>
      <c r="AA141" s="2">
        <v>-5.2148976649999996</v>
      </c>
      <c r="AB141">
        <v>6.5144754585323619E-3</v>
      </c>
      <c r="AC141">
        <v>7.7954661419613047E-3</v>
      </c>
      <c r="AD141">
        <v>5.307109097463826E-3</v>
      </c>
      <c r="AE141">
        <v>1.1746973647941564E-2</v>
      </c>
      <c r="AF141">
        <v>1.1134799926474552E-2</v>
      </c>
      <c r="AG141">
        <v>1.4309941600493667E-2</v>
      </c>
      <c r="AH141">
        <v>1.9617050697957494E-2</v>
      </c>
      <c r="AI141">
        <v>3.1364024345899057E-2</v>
      </c>
      <c r="AJ141">
        <v>4.2498824272373607E-2</v>
      </c>
      <c r="AK141">
        <v>1.3102575239425131E-2</v>
      </c>
      <c r="AL141">
        <v>2.4849548887366693E-2</v>
      </c>
      <c r="AM141">
        <v>3.5984348813841244E-2</v>
      </c>
      <c r="AN141">
        <v>1.7054082745405388E-2</v>
      </c>
      <c r="AO141">
        <v>2.8188882671879939E-2</v>
      </c>
      <c r="AP141">
        <v>2.2881773574416116E-2</v>
      </c>
      <c r="AQ141">
        <v>-8.6007061518132873E-4</v>
      </c>
      <c r="AR141">
        <v>1.232609690762802E-2</v>
      </c>
      <c r="AS141">
        <v>5.3449591760280617E-3</v>
      </c>
      <c r="AT141">
        <v>1.232609690762802E-2</v>
      </c>
      <c r="AU141">
        <v>2.6518184064332502</v>
      </c>
      <c r="AV141" s="5">
        <v>67.800674889999996</v>
      </c>
      <c r="AW141" s="6">
        <v>93.766666666666666</v>
      </c>
      <c r="AX141" s="6">
        <f t="shared" si="8"/>
        <v>4.5408094268277015</v>
      </c>
      <c r="AY141" s="5">
        <f t="shared" si="10"/>
        <v>6.4505967009186094</v>
      </c>
      <c r="AZ141" s="5">
        <f t="shared" si="9"/>
        <v>5.2994032990813906</v>
      </c>
      <c r="BA141" s="5">
        <f>$C141-AY142</f>
        <v>8.2107803079477577</v>
      </c>
      <c r="BB141">
        <v>1.0661989999999999</v>
      </c>
      <c r="BC141">
        <v>-6.4067137179776631E-3</v>
      </c>
      <c r="BD141">
        <v>16.683332440000001</v>
      </c>
      <c r="BE141" s="5">
        <f>BD141-AY141</f>
        <v>10.232735739081392</v>
      </c>
      <c r="BF141" s="5">
        <f>BD141-AY142</f>
        <v>13.144112747947759</v>
      </c>
    </row>
    <row r="142" spans="1:58" x14ac:dyDescent="0.25">
      <c r="A142" t="s">
        <v>152</v>
      </c>
      <c r="B142">
        <v>0</v>
      </c>
      <c r="C142">
        <v>12.81333351</v>
      </c>
      <c r="D142">
        <v>-43.2</v>
      </c>
      <c r="E142">
        <v>0.40400001400000002</v>
      </c>
      <c r="F142">
        <v>4.0633181836169774</v>
      </c>
      <c r="G142">
        <v>3.8361349883956888</v>
      </c>
      <c r="H142">
        <v>3.871385925476805</v>
      </c>
      <c r="I142">
        <v>3.5448936035855549</v>
      </c>
      <c r="J142">
        <v>5.2018064661671932</v>
      </c>
      <c r="K142">
        <v>-0.1756765688043197</v>
      </c>
      <c r="L142">
        <v>141</v>
      </c>
      <c r="M142">
        <v>19881</v>
      </c>
      <c r="N142">
        <v>0</v>
      </c>
      <c r="O142" s="4">
        <v>3.9649569532075821</v>
      </c>
      <c r="P142" s="4">
        <v>3.8352715423290067</v>
      </c>
      <c r="Q142" s="4">
        <v>3.0820475750059111</v>
      </c>
      <c r="R142">
        <v>-6.2394897347009155E-3</v>
      </c>
      <c r="S142" s="5">
        <v>0.77700000000000002</v>
      </c>
      <c r="T142" s="5">
        <v>-0.23499999999999999</v>
      </c>
      <c r="U142">
        <f t="shared" si="6"/>
        <v>7.77E-3</v>
      </c>
      <c r="V142">
        <f t="shared" si="7"/>
        <v>-2.3499999999999997E-3</v>
      </c>
      <c r="W142" s="1">
        <v>8371265278455160</v>
      </c>
      <c r="X142" s="2">
        <v>7.0391110379999997</v>
      </c>
      <c r="Y142" s="2">
        <v>7.0805149839999997</v>
      </c>
      <c r="Z142" s="2">
        <v>8.7746222209999996</v>
      </c>
      <c r="AA142" s="2">
        <v>-2.8939415469999998</v>
      </c>
      <c r="AB142">
        <v>-1.5006340718129662E-2</v>
      </c>
      <c r="AC142">
        <v>9.4457741133819315E-4</v>
      </c>
      <c r="AD142">
        <v>1.2830979017380251E-2</v>
      </c>
      <c r="AE142">
        <v>1.1516673289883048E-2</v>
      </c>
      <c r="AF142">
        <v>8.280659445978852E-3</v>
      </c>
      <c r="AG142">
        <v>-1.4061763306791469E-2</v>
      </c>
      <c r="AH142">
        <v>-1.2307842894112176E-3</v>
      </c>
      <c r="AI142">
        <v>1.028588900047183E-2</v>
      </c>
      <c r="AJ142">
        <v>1.8566548446450684E-2</v>
      </c>
      <c r="AK142">
        <v>1.3775556428718444E-2</v>
      </c>
      <c r="AL142">
        <v>2.529222971860149E-2</v>
      </c>
      <c r="AM142">
        <v>3.3572889164580344E-2</v>
      </c>
      <c r="AN142">
        <v>2.4347652307263299E-2</v>
      </c>
      <c r="AO142">
        <v>3.2628311753242149E-2</v>
      </c>
      <c r="AP142">
        <v>1.97973327358619E-2</v>
      </c>
      <c r="AQ142">
        <v>-3.2785263166869444E-3</v>
      </c>
      <c r="AR142">
        <v>-2.8966529532784488E-3</v>
      </c>
      <c r="AS142">
        <v>2.0664328593411174E-3</v>
      </c>
      <c r="AT142">
        <v>9.4294439543495708E-3</v>
      </c>
      <c r="AU142">
        <v>2.6695811138272298</v>
      </c>
      <c r="AV142" s="5">
        <v>68.720062139999996</v>
      </c>
      <c r="AW142" s="6">
        <v>94.6</v>
      </c>
      <c r="AX142" s="6">
        <f t="shared" si="8"/>
        <v>4.5496574760578321</v>
      </c>
      <c r="AY142" s="5">
        <f t="shared" si="10"/>
        <v>3.5392196920522423</v>
      </c>
      <c r="AZ142" s="5">
        <f t="shared" si="9"/>
        <v>9.2741138179477574</v>
      </c>
      <c r="BA142" s="5">
        <f>$C142-AY143</f>
        <v>7.0759603531247635</v>
      </c>
      <c r="BB142">
        <v>1.0706020000000001</v>
      </c>
      <c r="BC142">
        <v>4.4273253526746909E-3</v>
      </c>
      <c r="BD142">
        <v>17.033332819999998</v>
      </c>
      <c r="BE142" s="5">
        <f>BD142-AY142</f>
        <v>13.494113127947756</v>
      </c>
      <c r="BF142" s="5">
        <f>BD142-AY143</f>
        <v>11.295959663124762</v>
      </c>
    </row>
    <row r="143" spans="1:58" x14ac:dyDescent="0.25">
      <c r="A143" t="s">
        <v>153</v>
      </c>
      <c r="B143">
        <v>0</v>
      </c>
      <c r="C143">
        <v>12.420000079999999</v>
      </c>
      <c r="D143">
        <v>0</v>
      </c>
      <c r="E143">
        <v>0.40400001400000002</v>
      </c>
      <c r="F143">
        <v>4.0691293130810369</v>
      </c>
      <c r="G143">
        <v>3.8415361613768648</v>
      </c>
      <c r="H143">
        <v>3.8748840508071627</v>
      </c>
      <c r="I143">
        <v>3.5093041229880066</v>
      </c>
      <c r="J143">
        <v>5.2089504902741579</v>
      </c>
      <c r="K143">
        <v>-0.1769088344531376</v>
      </c>
      <c r="L143">
        <v>142</v>
      </c>
      <c r="M143">
        <v>20164</v>
      </c>
      <c r="N143">
        <v>0</v>
      </c>
      <c r="O143" s="4">
        <v>3.9632292960309772</v>
      </c>
      <c r="P143" s="4">
        <v>3.8418151103846494</v>
      </c>
      <c r="Q143" s="4">
        <v>3.0857100796722228</v>
      </c>
      <c r="R143">
        <v>8.0802363819198961E-3</v>
      </c>
      <c r="S143" s="5">
        <v>-0.88600000000000001</v>
      </c>
      <c r="T143" s="5">
        <v>-5.7190000000000003</v>
      </c>
      <c r="U143">
        <f t="shared" si="6"/>
        <v>-8.8599999999999998E-3</v>
      </c>
      <c r="V143">
        <f t="shared" si="7"/>
        <v>-5.7190000000000005E-2</v>
      </c>
      <c r="W143" s="1">
        <v>8374306632507250</v>
      </c>
      <c r="X143" s="2">
        <v>7.0454993569999997</v>
      </c>
      <c r="Y143" s="2">
        <v>7.0756574480000003</v>
      </c>
      <c r="Z143" s="2">
        <v>8.7800650190000002</v>
      </c>
      <c r="AA143" s="2">
        <v>-4.1282389090000002</v>
      </c>
      <c r="AB143">
        <v>-9.6910035883680905E-3</v>
      </c>
      <c r="AC143">
        <v>3.1950327471513052E-3</v>
      </c>
      <c r="AD143">
        <v>1.1048103146391548E-2</v>
      </c>
      <c r="AE143">
        <v>6.6685680272412862E-3</v>
      </c>
      <c r="AF143">
        <v>1.0159824320628941E-2</v>
      </c>
      <c r="AG143">
        <v>-6.4959708412167857E-3</v>
      </c>
      <c r="AH143">
        <v>4.5521323051747626E-3</v>
      </c>
      <c r="AI143">
        <v>1.122070033241605E-2</v>
      </c>
      <c r="AJ143">
        <v>2.1380524653044991E-2</v>
      </c>
      <c r="AK143">
        <v>1.4243135893542853E-2</v>
      </c>
      <c r="AL143">
        <v>2.091170392078414E-2</v>
      </c>
      <c r="AM143">
        <v>3.1071528241413082E-2</v>
      </c>
      <c r="AN143">
        <v>1.7716671173632834E-2</v>
      </c>
      <c r="AO143">
        <v>2.7876495494261775E-2</v>
      </c>
      <c r="AP143">
        <v>1.6828392347870227E-2</v>
      </c>
      <c r="AQ143">
        <v>-1.0104516413720446E-2</v>
      </c>
      <c r="AR143">
        <v>-1.1716607832458009E-2</v>
      </c>
      <c r="AS143">
        <v>-8.0380835543793286E-3</v>
      </c>
      <c r="AT143">
        <v>-2.2871638781084384E-3</v>
      </c>
      <c r="AU143">
        <v>2.6739508367404401</v>
      </c>
      <c r="AV143" s="5">
        <v>69.551687880000003</v>
      </c>
      <c r="AW143" s="6">
        <v>95.966666666666669</v>
      </c>
      <c r="AX143" s="6">
        <f t="shared" si="8"/>
        <v>4.5640009089500202</v>
      </c>
      <c r="AY143" s="5">
        <f t="shared" si="10"/>
        <v>5.7373731568752362</v>
      </c>
      <c r="AZ143" s="5">
        <f t="shared" si="9"/>
        <v>6.6826269231247633</v>
      </c>
      <c r="BA143" s="5">
        <f>$C143-AY144</f>
        <v>5.5327775937767338</v>
      </c>
      <c r="BB143">
        <v>1.16832</v>
      </c>
      <c r="BC143">
        <v>3.1399388296308823E-3</v>
      </c>
      <c r="BD143">
        <v>16.780000690000001</v>
      </c>
      <c r="BE143" s="5">
        <f>BD143-AY143</f>
        <v>11.042627533124765</v>
      </c>
      <c r="BF143" s="5">
        <f>BD143-AY144</f>
        <v>9.8927782037767358</v>
      </c>
    </row>
    <row r="144" spans="1:58" x14ac:dyDescent="0.25">
      <c r="A144" t="s">
        <v>154</v>
      </c>
      <c r="B144">
        <v>0</v>
      </c>
      <c r="C144">
        <v>9.3166666029999998</v>
      </c>
      <c r="D144">
        <v>0</v>
      </c>
      <c r="E144">
        <v>0.40400001400000002</v>
      </c>
      <c r="F144">
        <v>4.0759429530415483</v>
      </c>
      <c r="G144">
        <v>3.8376657714420439</v>
      </c>
      <c r="H144">
        <v>3.8824728384553175</v>
      </c>
      <c r="I144">
        <v>3.4810554569075585</v>
      </c>
      <c r="J144">
        <v>5.2017789327485042</v>
      </c>
      <c r="K144">
        <v>-0.17636507084273434</v>
      </c>
      <c r="L144">
        <v>143</v>
      </c>
      <c r="M144">
        <v>20449</v>
      </c>
      <c r="N144">
        <v>0</v>
      </c>
      <c r="O144" s="4">
        <v>3.9674766336131131</v>
      </c>
      <c r="P144" s="4">
        <v>3.8511896118203972</v>
      </c>
      <c r="Q144" s="4">
        <v>3.093720681882195</v>
      </c>
      <c r="R144">
        <v>1.1682063522205114E-2</v>
      </c>
      <c r="S144" s="5">
        <v>0.48</v>
      </c>
      <c r="T144" s="5">
        <v>6.274</v>
      </c>
      <c r="U144">
        <f t="shared" si="6"/>
        <v>4.7999999999999996E-3</v>
      </c>
      <c r="V144">
        <f t="shared" si="7"/>
        <v>6.2740000000000004E-2</v>
      </c>
      <c r="W144" s="1">
        <v>8380988056096730</v>
      </c>
      <c r="X144" s="2">
        <v>7.0502529359999997</v>
      </c>
      <c r="Y144" s="2">
        <v>7.0295119509999999</v>
      </c>
      <c r="Z144" s="2">
        <v>8.7764449249999998</v>
      </c>
      <c r="AA144" s="2">
        <v>-0.88724498299999999</v>
      </c>
      <c r="AB144">
        <v>3.3513139185117873E-3</v>
      </c>
      <c r="AC144">
        <v>1.4485761770242953E-2</v>
      </c>
      <c r="AD144">
        <v>9.02837596119338E-3</v>
      </c>
      <c r="AE144">
        <v>5.4617709926232201E-3</v>
      </c>
      <c r="AF144">
        <v>9.7931097205006933E-3</v>
      </c>
      <c r="AG144">
        <v>1.7837075688754742E-2</v>
      </c>
      <c r="AH144">
        <v>2.6865451649948122E-2</v>
      </c>
      <c r="AI144">
        <v>3.2327222642571339E-2</v>
      </c>
      <c r="AJ144">
        <v>4.2120332363072034E-2</v>
      </c>
      <c r="AK144">
        <v>2.3514137731436333E-2</v>
      </c>
      <c r="AL144">
        <v>2.8975908724059554E-2</v>
      </c>
      <c r="AM144">
        <v>3.8769018444560245E-2</v>
      </c>
      <c r="AN144">
        <v>1.4490146953816601E-2</v>
      </c>
      <c r="AO144">
        <v>2.4283256674317293E-2</v>
      </c>
      <c r="AP144">
        <v>1.5254880713123913E-2</v>
      </c>
      <c r="AQ144">
        <v>5.797466557803499E-3</v>
      </c>
      <c r="AR144">
        <v>1.0994132297977785E-3</v>
      </c>
      <c r="AS144">
        <v>-2.2406169965758296E-3</v>
      </c>
      <c r="AT144">
        <v>-1.1877506483106599E-3</v>
      </c>
      <c r="AU144">
        <v>2.77445647204918</v>
      </c>
      <c r="AV144" s="5">
        <v>70.54311998</v>
      </c>
      <c r="AW144" s="6">
        <v>97.63333333333334</v>
      </c>
      <c r="AX144" s="6">
        <f t="shared" si="8"/>
        <v>4.5812189651655784</v>
      </c>
      <c r="AY144" s="5">
        <f t="shared" si="10"/>
        <v>6.8872224862232656</v>
      </c>
      <c r="AZ144" s="5">
        <f t="shared" si="9"/>
        <v>2.4294441167767342</v>
      </c>
      <c r="BA144" s="5">
        <f>$C144-AY145</f>
        <v>8.0894626405643475</v>
      </c>
      <c r="BB144">
        <v>1.241819</v>
      </c>
      <c r="BC144">
        <v>6.1407639550859171E-3</v>
      </c>
      <c r="BD144">
        <v>16.25</v>
      </c>
      <c r="BE144" s="5">
        <f>BD144-AY144</f>
        <v>9.3627775137767344</v>
      </c>
      <c r="BF144" s="5">
        <f>BD144-AY145</f>
        <v>15.022796037564348</v>
      </c>
    </row>
    <row r="145" spans="1:58" x14ac:dyDescent="0.25">
      <c r="A145" t="s">
        <v>155</v>
      </c>
      <c r="B145">
        <v>0</v>
      </c>
      <c r="C145">
        <v>7.9066667559999999</v>
      </c>
      <c r="D145">
        <v>0</v>
      </c>
      <c r="E145">
        <v>0.40400001400000002</v>
      </c>
      <c r="F145">
        <v>4.0930604047113404</v>
      </c>
      <c r="G145">
        <v>3.8384625756534252</v>
      </c>
      <c r="H145">
        <v>3.8967827354381455</v>
      </c>
      <c r="I145">
        <v>3.4794230549126639</v>
      </c>
      <c r="J145">
        <v>5.1956809150339653</v>
      </c>
      <c r="K145">
        <v>-0.17200638292065332</v>
      </c>
      <c r="L145">
        <v>144</v>
      </c>
      <c r="M145">
        <v>20736</v>
      </c>
      <c r="N145">
        <v>0</v>
      </c>
      <c r="O145" s="4">
        <v>3.9776983801027801</v>
      </c>
      <c r="P145" s="4">
        <v>3.8677784941065609</v>
      </c>
      <c r="Q145" s="4">
        <v>3.1383596718037468</v>
      </c>
      <c r="R145">
        <v>1.4648126456597996E-2</v>
      </c>
      <c r="S145" s="5">
        <v>1.9319999999999999</v>
      </c>
      <c r="T145" s="5">
        <v>9.5220000000000002</v>
      </c>
      <c r="U145">
        <f t="shared" si="6"/>
        <v>1.932E-2</v>
      </c>
      <c r="V145">
        <f t="shared" si="7"/>
        <v>9.5219999999999999E-2</v>
      </c>
      <c r="W145" s="1">
        <v>8398353122296770</v>
      </c>
      <c r="X145" s="2">
        <v>7.073476157</v>
      </c>
      <c r="Y145" s="2">
        <v>7.0050705759999996</v>
      </c>
      <c r="Z145" s="2">
        <v>8.7774321220000004</v>
      </c>
      <c r="AA145" s="2">
        <v>1.2175367770000001</v>
      </c>
      <c r="AB145">
        <v>2.6081142856315645E-2</v>
      </c>
      <c r="AC145">
        <v>4.5207517401605283E-3</v>
      </c>
      <c r="AD145">
        <v>-7.5724866573000701E-4</v>
      </c>
      <c r="AE145">
        <v>1.1121079678286164E-2</v>
      </c>
      <c r="AF145">
        <v>8.6881216136850264E-3</v>
      </c>
      <c r="AG145">
        <v>3.0601894596476172E-2</v>
      </c>
      <c r="AH145">
        <v>2.9844645930746164E-2</v>
      </c>
      <c r="AI145">
        <v>4.0965725609032326E-2</v>
      </c>
      <c r="AJ145">
        <v>4.9653847222717352E-2</v>
      </c>
      <c r="AK145">
        <v>3.7635030744305213E-3</v>
      </c>
      <c r="AL145">
        <v>1.4884582752716684E-2</v>
      </c>
      <c r="AM145">
        <v>2.3572704366401711E-2</v>
      </c>
      <c r="AN145">
        <v>1.0363831012556158E-2</v>
      </c>
      <c r="AO145">
        <v>1.9051952626241184E-2</v>
      </c>
      <c r="AP145">
        <v>1.9809201291971189E-2</v>
      </c>
      <c r="AQ145">
        <v>-1.0726643879386079E-2</v>
      </c>
      <c r="AR145">
        <v>-9.3986739216006081E-3</v>
      </c>
      <c r="AS145">
        <v>-1.2967260875961908E-2</v>
      </c>
      <c r="AT145">
        <v>-1.0586424569911268E-2</v>
      </c>
      <c r="AU145">
        <v>2.83311377678318</v>
      </c>
      <c r="AV145" s="5">
        <v>71.307099500000007</v>
      </c>
      <c r="AW145" s="6">
        <v>97.933333333333337</v>
      </c>
      <c r="AX145" s="6">
        <f t="shared" si="8"/>
        <v>4.5842869750716675</v>
      </c>
      <c r="AY145" s="5">
        <f t="shared" si="10"/>
        <v>1.2272039624356523</v>
      </c>
      <c r="AZ145" s="5">
        <f t="shared" si="9"/>
        <v>6.6794627935643476</v>
      </c>
      <c r="BA145" s="5">
        <f>$C145-AY146</f>
        <v>7.6344653164380745</v>
      </c>
      <c r="BB145">
        <v>1.201152</v>
      </c>
      <c r="BC145">
        <v>4.6739914030802122E-3</v>
      </c>
      <c r="BD145">
        <v>14.39000034</v>
      </c>
      <c r="BE145" s="5">
        <f>BD145-AY145</f>
        <v>13.162796377564348</v>
      </c>
      <c r="BF145" s="5">
        <f>BD145-AY146</f>
        <v>14.117798900438075</v>
      </c>
    </row>
    <row r="146" spans="1:58" x14ac:dyDescent="0.25">
      <c r="A146" t="s">
        <v>156</v>
      </c>
      <c r="B146">
        <v>0</v>
      </c>
      <c r="C146">
        <v>8.1066665649999994</v>
      </c>
      <c r="D146">
        <v>-30.9</v>
      </c>
      <c r="E146">
        <v>0.39100000299999998</v>
      </c>
      <c r="F146">
        <v>4.1005419851300529</v>
      </c>
      <c r="G146">
        <v>3.8508282210999538</v>
      </c>
      <c r="H146">
        <v>3.9064524472389075</v>
      </c>
      <c r="I146">
        <v>3.5010427166318716</v>
      </c>
      <c r="J146">
        <v>5.2020872637442688</v>
      </c>
      <c r="K146">
        <v>-0.17025883301682551</v>
      </c>
      <c r="L146">
        <v>145</v>
      </c>
      <c r="M146">
        <v>21025</v>
      </c>
      <c r="N146">
        <v>0</v>
      </c>
      <c r="O146" s="4">
        <v>3.9809332068313537</v>
      </c>
      <c r="P146" s="4">
        <v>3.8808212542848817</v>
      </c>
      <c r="Q146" s="4">
        <v>3.1484533605716547</v>
      </c>
      <c r="R146">
        <v>7.4465542760968765E-3</v>
      </c>
      <c r="S146" s="5">
        <v>6.6000000000000003E-2</v>
      </c>
      <c r="T146" s="5">
        <v>-8.968</v>
      </c>
      <c r="U146">
        <f t="shared" ref="U146:U209" si="11">S146/100</f>
        <v>6.6E-4</v>
      </c>
      <c r="V146">
        <f t="shared" ref="V146:V209" si="12">T146/100</f>
        <v>-8.9679999999999996E-2</v>
      </c>
      <c r="W146" s="1">
        <v>8408191610674320</v>
      </c>
      <c r="X146" s="2">
        <v>7.0808012639999998</v>
      </c>
      <c r="Y146" s="2">
        <v>7.0148324679999998</v>
      </c>
      <c r="Z146" s="2">
        <v>8.7904365250000005</v>
      </c>
      <c r="AA146" s="2">
        <v>1.5187374300000001</v>
      </c>
      <c r="AB146">
        <v>-1.4915959761063576E-2</v>
      </c>
      <c r="AC146">
        <v>4.8152996523162812E-3</v>
      </c>
      <c r="AD146">
        <v>1.3764182162994958E-2</v>
      </c>
      <c r="AE146">
        <v>1.8952382274479616E-2</v>
      </c>
      <c r="AF146">
        <v>2.0873105155155065E-2</v>
      </c>
      <c r="AG146">
        <v>-1.0100660108747295E-2</v>
      </c>
      <c r="AH146">
        <v>3.6635220542476626E-3</v>
      </c>
      <c r="AI146">
        <v>2.2615904328727281E-2</v>
      </c>
      <c r="AJ146">
        <v>4.3489009483882346E-2</v>
      </c>
      <c r="AK146">
        <v>1.8579481815311237E-2</v>
      </c>
      <c r="AL146">
        <v>3.7531864089790853E-2</v>
      </c>
      <c r="AM146">
        <v>5.8404969244945919E-2</v>
      </c>
      <c r="AN146">
        <v>3.2716564437474574E-2</v>
      </c>
      <c r="AO146">
        <v>5.3589669592629639E-2</v>
      </c>
      <c r="AP146">
        <v>3.9825487429634682E-2</v>
      </c>
      <c r="AQ146">
        <v>8.2156508027550791E-3</v>
      </c>
      <c r="AR146">
        <v>1.8479911463549669E-2</v>
      </c>
      <c r="AS146">
        <v>-4.7516100732068293E-3</v>
      </c>
      <c r="AT146">
        <v>7.893486893638401E-3</v>
      </c>
      <c r="AU146">
        <v>2.85675978816447</v>
      </c>
      <c r="AV146" s="5">
        <v>71.887225720000004</v>
      </c>
      <c r="AW146" s="6">
        <v>98</v>
      </c>
      <c r="AX146" s="6">
        <f t="shared" si="8"/>
        <v>4.5849674786705723</v>
      </c>
      <c r="AY146" s="5">
        <f t="shared" si="10"/>
        <v>0.27220143956192544</v>
      </c>
      <c r="AZ146" s="5">
        <f t="shared" si="9"/>
        <v>7.8344651254380739</v>
      </c>
      <c r="BA146" s="5">
        <f>$C146-AY147</f>
        <v>3.5073598900507665</v>
      </c>
      <c r="BB146">
        <v>1.297998</v>
      </c>
      <c r="BC146">
        <v>2.2271031361870836E-4</v>
      </c>
      <c r="BD146">
        <v>13.83333302</v>
      </c>
      <c r="BE146" s="5">
        <f>BD146-AY146</f>
        <v>13.561131580438074</v>
      </c>
      <c r="BF146" s="5">
        <f>BD146-AY147</f>
        <v>9.2340263450507667</v>
      </c>
    </row>
    <row r="147" spans="1:58" x14ac:dyDescent="0.25">
      <c r="A147" t="s">
        <v>157</v>
      </c>
      <c r="B147">
        <v>0</v>
      </c>
      <c r="C147">
        <v>8.3966665270000007</v>
      </c>
      <c r="D147">
        <v>0</v>
      </c>
      <c r="E147">
        <v>0.39100000299999998</v>
      </c>
      <c r="F147">
        <v>4.1090525344276498</v>
      </c>
      <c r="G147">
        <v>3.8730534607294276</v>
      </c>
      <c r="H147">
        <v>3.9187897943830481</v>
      </c>
      <c r="I147">
        <v>3.5389282773504322</v>
      </c>
      <c r="J147">
        <v>5.2116968222642628</v>
      </c>
      <c r="K147">
        <v>-0.16664771825053037</v>
      </c>
      <c r="L147">
        <v>146</v>
      </c>
      <c r="M147">
        <v>21316</v>
      </c>
      <c r="N147">
        <v>0</v>
      </c>
      <c r="O147" s="4">
        <v>3.9926440073957616</v>
      </c>
      <c r="P147" s="4">
        <v>3.8935127426690492</v>
      </c>
      <c r="Q147" s="4">
        <v>3.2187958216680301</v>
      </c>
      <c r="R147">
        <v>1.6227272997852954E-2</v>
      </c>
      <c r="S147" s="5">
        <v>0.60299999999999998</v>
      </c>
      <c r="T147" s="5">
        <v>-1.556</v>
      </c>
      <c r="U147">
        <f t="shared" si="11"/>
        <v>6.0299999999999998E-3</v>
      </c>
      <c r="V147">
        <f t="shared" si="12"/>
        <v>-1.5560000000000001E-2</v>
      </c>
      <c r="W147" s="1">
        <v>8428349737197540</v>
      </c>
      <c r="X147" s="2">
        <v>7.0908954089999998</v>
      </c>
      <c r="Y147" s="2">
        <v>7.0639907959999997</v>
      </c>
      <c r="Z147" s="2">
        <v>8.8130071109999992</v>
      </c>
      <c r="AA147" s="2">
        <v>2.9029197369999999</v>
      </c>
      <c r="AB147">
        <v>3.9485095926935377E-3</v>
      </c>
      <c r="AC147">
        <v>2.0917085205472041E-2</v>
      </c>
      <c r="AD147">
        <v>1.194655010469137E-2</v>
      </c>
      <c r="AE147">
        <v>1.4948982182018409E-2</v>
      </c>
      <c r="AF147">
        <v>1.176342937061617E-2</v>
      </c>
      <c r="AG147">
        <v>2.486559479816558E-2</v>
      </c>
      <c r="AH147">
        <v>3.6812144902856947E-2</v>
      </c>
      <c r="AI147">
        <v>5.1761127084875354E-2</v>
      </c>
      <c r="AJ147">
        <v>6.3524556455491529E-2</v>
      </c>
      <c r="AK147">
        <v>3.2863635310163411E-2</v>
      </c>
      <c r="AL147">
        <v>4.7812617492181818E-2</v>
      </c>
      <c r="AM147">
        <v>5.9576046862797986E-2</v>
      </c>
      <c r="AN147">
        <v>2.6895532286709781E-2</v>
      </c>
      <c r="AO147">
        <v>3.8658961657325949E-2</v>
      </c>
      <c r="AP147">
        <v>2.6712411552634579E-2</v>
      </c>
      <c r="AQ147">
        <v>1.4707087268883701E-4</v>
      </c>
      <c r="AR147">
        <v>-5.7770521004478215E-3</v>
      </c>
      <c r="AS147">
        <v>-4.6045392005179923E-3</v>
      </c>
      <c r="AT147">
        <v>2.1164347931905796E-3</v>
      </c>
      <c r="AU147">
        <v>2.8985412034957099</v>
      </c>
      <c r="AV147" s="5">
        <v>72.411570209999994</v>
      </c>
      <c r="AW147" s="6">
        <v>99.13333333333334</v>
      </c>
      <c r="AX147" s="6">
        <f t="shared" si="8"/>
        <v>4.5964657453579454</v>
      </c>
      <c r="AY147" s="5">
        <f t="shared" si="10"/>
        <v>4.5993066749492328</v>
      </c>
      <c r="AZ147" s="5">
        <f t="shared" si="9"/>
        <v>3.7973598520507679</v>
      </c>
      <c r="BA147" s="5">
        <f>$C147-AY148</f>
        <v>4.5150901417083489</v>
      </c>
      <c r="BB147">
        <v>1.2820659999999999</v>
      </c>
      <c r="BC147">
        <v>1.3257930951076222E-2</v>
      </c>
      <c r="BD147">
        <v>13.25</v>
      </c>
      <c r="BE147" s="5">
        <f>BD147-AY147</f>
        <v>8.6506933250507672</v>
      </c>
      <c r="BF147" s="5">
        <f>BD147-AY148</f>
        <v>9.3684236147083482</v>
      </c>
    </row>
    <row r="148" spans="1:58" x14ac:dyDescent="0.25">
      <c r="A148" t="s">
        <v>158</v>
      </c>
      <c r="B148">
        <v>0</v>
      </c>
      <c r="C148">
        <v>9.1400003430000005</v>
      </c>
      <c r="D148">
        <v>0</v>
      </c>
      <c r="E148">
        <v>0.39100000299999998</v>
      </c>
      <c r="F148">
        <v>4.1262630377903742</v>
      </c>
      <c r="G148">
        <v>3.8925751152053301</v>
      </c>
      <c r="H148">
        <v>3.9333245286223217</v>
      </c>
      <c r="I148">
        <v>3.5969834394093994</v>
      </c>
      <c r="J148">
        <v>5.2269985779260519</v>
      </c>
      <c r="K148">
        <v>-0.1722152951742347</v>
      </c>
      <c r="L148">
        <v>147</v>
      </c>
      <c r="M148">
        <v>21609</v>
      </c>
      <c r="N148">
        <v>0</v>
      </c>
      <c r="O148" s="4">
        <v>4.0077331052537977</v>
      </c>
      <c r="P148" s="4">
        <v>3.907733820009716</v>
      </c>
      <c r="Q148" s="4">
        <v>3.2565183702927114</v>
      </c>
      <c r="R148">
        <v>6.7629601668408867E-3</v>
      </c>
      <c r="S148" s="5">
        <v>3.71</v>
      </c>
      <c r="T148" s="5">
        <v>2.024</v>
      </c>
      <c r="U148">
        <f t="shared" si="11"/>
        <v>3.7100000000000001E-2</v>
      </c>
      <c r="V148">
        <f t="shared" si="12"/>
        <v>2.0240000000000001E-2</v>
      </c>
      <c r="W148" s="1">
        <v>8446122877825660</v>
      </c>
      <c r="X148" s="2">
        <v>7.1079011110000003</v>
      </c>
      <c r="Y148" s="2">
        <v>7.0742195710000004</v>
      </c>
      <c r="Z148" s="2">
        <v>8.8323980140000007</v>
      </c>
      <c r="AA148" s="2">
        <v>2.5970843530000001</v>
      </c>
      <c r="AB148">
        <v>2.2607442216986649E-2</v>
      </c>
      <c r="AC148">
        <v>1.3728836678551463E-2</v>
      </c>
      <c r="AD148">
        <v>1.5894975882599527E-2</v>
      </c>
      <c r="AE148">
        <v>1.6596302159358405E-2</v>
      </c>
      <c r="AF148">
        <v>1.3955907790947988E-2</v>
      </c>
      <c r="AG148">
        <v>3.6336278895538116E-2</v>
      </c>
      <c r="AH148">
        <v>5.2231254778137642E-2</v>
      </c>
      <c r="AI148">
        <v>6.8827556937496051E-2</v>
      </c>
      <c r="AJ148">
        <v>8.2783464728444042E-2</v>
      </c>
      <c r="AK148">
        <v>2.962381256115099E-2</v>
      </c>
      <c r="AL148">
        <v>4.6220114720509395E-2</v>
      </c>
      <c r="AM148">
        <v>6.0176022511457386E-2</v>
      </c>
      <c r="AN148">
        <v>3.2491278041957936E-2</v>
      </c>
      <c r="AO148">
        <v>4.6447185832905927E-2</v>
      </c>
      <c r="AP148">
        <v>3.0552209950306393E-2</v>
      </c>
      <c r="AQ148">
        <v>2.7282802744412089E-3</v>
      </c>
      <c r="AR148">
        <v>7.5611530631834456E-3</v>
      </c>
      <c r="AS148">
        <v>-1.8762589260767834E-3</v>
      </c>
      <c r="AT148">
        <v>9.6775878563740252E-3</v>
      </c>
      <c r="AU148">
        <v>2.9246256778914299</v>
      </c>
      <c r="AV148" s="5">
        <v>73.150886069999999</v>
      </c>
      <c r="AW148" s="6">
        <v>100.1</v>
      </c>
      <c r="AX148" s="6">
        <f t="shared" si="8"/>
        <v>4.6061696863211745</v>
      </c>
      <c r="AY148" s="5">
        <f t="shared" si="10"/>
        <v>3.8815763852916518</v>
      </c>
      <c r="AZ148" s="5">
        <f t="shared" si="9"/>
        <v>5.2584239577083487</v>
      </c>
      <c r="BA148" s="5">
        <f>$C148-AY149</f>
        <v>5.1638244608995372</v>
      </c>
      <c r="BB148">
        <v>1.252642</v>
      </c>
      <c r="BC148">
        <v>2.8885163062445599E-3</v>
      </c>
      <c r="BD148">
        <v>13.52666664</v>
      </c>
      <c r="BE148" s="5">
        <f>BD148-AY148</f>
        <v>9.6450902547083484</v>
      </c>
      <c r="BF148" s="5">
        <f>BD148-AY149</f>
        <v>9.5504907578995368</v>
      </c>
    </row>
    <row r="149" spans="1:58" x14ac:dyDescent="0.25">
      <c r="A149" t="s">
        <v>159</v>
      </c>
      <c r="B149">
        <v>0</v>
      </c>
      <c r="C149">
        <v>8.8000001910000005</v>
      </c>
      <c r="D149">
        <v>0</v>
      </c>
      <c r="E149">
        <v>0.39100000299999998</v>
      </c>
      <c r="F149">
        <v>4.1092167542197879</v>
      </c>
      <c r="G149">
        <v>3.9130424855816117</v>
      </c>
      <c r="H149">
        <v>3.9442063620651098</v>
      </c>
      <c r="I149">
        <v>3.6538997352179097</v>
      </c>
      <c r="J149">
        <v>5.2382435305212569</v>
      </c>
      <c r="K149">
        <v>-0.16505738274774939</v>
      </c>
      <c r="L149">
        <v>148</v>
      </c>
      <c r="M149">
        <v>21904</v>
      </c>
      <c r="N149">
        <v>0</v>
      </c>
      <c r="O149" s="4">
        <v>4.019836510047039</v>
      </c>
      <c r="P149" s="4">
        <v>3.9178857856965217</v>
      </c>
      <c r="Q149" s="4">
        <v>3.3046497698879267</v>
      </c>
      <c r="R149">
        <v>-4.9378414399631199E-2</v>
      </c>
      <c r="S149" s="5">
        <v>3.036</v>
      </c>
      <c r="T149" s="5">
        <v>-5.718</v>
      </c>
      <c r="U149">
        <f t="shared" si="11"/>
        <v>3.0360000000000002E-2</v>
      </c>
      <c r="V149">
        <f t="shared" si="12"/>
        <v>-5.7180000000000002E-2</v>
      </c>
      <c r="W149" s="1">
        <v>8461932880920200</v>
      </c>
      <c r="X149" s="2">
        <v>7.0844972479999999</v>
      </c>
      <c r="Y149" s="2">
        <v>7.1046721640000001</v>
      </c>
      <c r="Z149" s="2">
        <v>8.8528079179999999</v>
      </c>
      <c r="AA149" s="2">
        <v>0.58519584499999999</v>
      </c>
      <c r="AB149">
        <v>-1.137066741090604E-3</v>
      </c>
      <c r="AC149">
        <v>2.0555152598192225E-2</v>
      </c>
      <c r="AD149">
        <v>1.7704860342687565E-2</v>
      </c>
      <c r="AE149">
        <v>1.6851523255830947E-2</v>
      </c>
      <c r="AF149">
        <v>1.380659870187307E-2</v>
      </c>
      <c r="AG149">
        <v>1.941808585710162E-2</v>
      </c>
      <c r="AH149">
        <v>3.7122946199789189E-2</v>
      </c>
      <c r="AI149">
        <v>5.3974469455620136E-2</v>
      </c>
      <c r="AJ149">
        <v>6.7781068157493213E-2</v>
      </c>
      <c r="AK149">
        <v>3.8260012940879787E-2</v>
      </c>
      <c r="AL149">
        <v>5.5111536196710734E-2</v>
      </c>
      <c r="AM149">
        <v>6.891813489858381E-2</v>
      </c>
      <c r="AN149">
        <v>3.4556383598518509E-2</v>
      </c>
      <c r="AO149">
        <v>4.8362982300391578E-2</v>
      </c>
      <c r="AP149">
        <v>3.0658121957704017E-2</v>
      </c>
      <c r="AQ149">
        <v>5.7687348989218512E-3</v>
      </c>
      <c r="AR149">
        <v>8.6643503638048069E-3</v>
      </c>
      <c r="AS149">
        <v>3.8924759728450678E-3</v>
      </c>
      <c r="AT149">
        <v>1.8341938220178832E-2</v>
      </c>
      <c r="AU149">
        <v>2.9339199719451701</v>
      </c>
      <c r="AV149" s="5">
        <v>73.686839419999998</v>
      </c>
      <c r="AW149" s="6">
        <v>101.1</v>
      </c>
      <c r="AX149" s="6">
        <f t="shared" si="8"/>
        <v>4.6161101260264257</v>
      </c>
      <c r="AY149" s="5">
        <f t="shared" si="10"/>
        <v>3.9761758821004634</v>
      </c>
      <c r="AZ149" s="5">
        <f t="shared" si="9"/>
        <v>4.8238243088995372</v>
      </c>
      <c r="BA149" s="5">
        <f>$C149-AY150</f>
        <v>3.1688710162185654</v>
      </c>
      <c r="BB149">
        <v>1.268921</v>
      </c>
      <c r="BC149">
        <v>-5.7986101278737281E-4</v>
      </c>
      <c r="BD149">
        <v>13.606666560000001</v>
      </c>
      <c r="BE149" s="5">
        <f>BD149-AY149</f>
        <v>9.6304906778995374</v>
      </c>
      <c r="BF149" s="5">
        <f>BD149-AY150</f>
        <v>7.9755373852185656</v>
      </c>
    </row>
    <row r="150" spans="1:58" x14ac:dyDescent="0.25">
      <c r="A150" t="s">
        <v>160</v>
      </c>
      <c r="B150">
        <v>0</v>
      </c>
      <c r="C150">
        <v>9.1700000760000009</v>
      </c>
      <c r="D150">
        <v>-24</v>
      </c>
      <c r="E150">
        <v>0.39300000699999998</v>
      </c>
      <c r="F150">
        <v>4.1192322777298793</v>
      </c>
      <c r="G150">
        <v>3.9322373126783861</v>
      </c>
      <c r="H150">
        <v>3.9483602710161678</v>
      </c>
      <c r="I150">
        <v>3.6847961286763002</v>
      </c>
      <c r="J150">
        <v>5.2559733810535665</v>
      </c>
      <c r="K150">
        <v>-0.16166444945289155</v>
      </c>
      <c r="L150">
        <v>149</v>
      </c>
      <c r="M150">
        <v>22201</v>
      </c>
      <c r="N150">
        <v>0</v>
      </c>
      <c r="O150" s="4">
        <v>4.0223830028242338</v>
      </c>
      <c r="P150" s="4">
        <v>3.9228046737928226</v>
      </c>
      <c r="Q150" s="4">
        <v>3.3416950465130473</v>
      </c>
      <c r="R150">
        <v>-1.2042430662099333E-2</v>
      </c>
      <c r="S150" s="5">
        <v>4.6959999999999997</v>
      </c>
      <c r="T150" s="5">
        <v>-5.5149999999999997</v>
      </c>
      <c r="U150">
        <f t="shared" si="11"/>
        <v>4.6959999999999995E-2</v>
      </c>
      <c r="V150">
        <f t="shared" si="12"/>
        <v>-5.5149999999999998E-2</v>
      </c>
      <c r="W150" s="1">
        <v>8470197386421050</v>
      </c>
      <c r="X150" s="2">
        <v>7.1028170150000003</v>
      </c>
      <c r="Y150" s="2">
        <v>7.1573972369999996</v>
      </c>
      <c r="Z150" s="2">
        <v>8.8724731630000004</v>
      </c>
      <c r="AA150" s="2">
        <v>-0.430273923</v>
      </c>
      <c r="AB150">
        <v>1.356670911663849E-2</v>
      </c>
      <c r="AC150">
        <v>2.6628690312546274E-2</v>
      </c>
      <c r="AD150">
        <v>1.8376793315914051E-2</v>
      </c>
      <c r="AE150">
        <v>1.6085645313045637E-2</v>
      </c>
      <c r="AF150">
        <v>1.3816447126527815E-2</v>
      </c>
      <c r="AG150">
        <v>4.0195399429184764E-2</v>
      </c>
      <c r="AH150">
        <v>5.8572192745098811E-2</v>
      </c>
      <c r="AI150">
        <v>7.4657838058144452E-2</v>
      </c>
      <c r="AJ150">
        <v>8.8474285184672263E-2</v>
      </c>
      <c r="AK150">
        <v>4.5005483628460324E-2</v>
      </c>
      <c r="AL150">
        <v>6.1091128941505965E-2</v>
      </c>
      <c r="AM150">
        <v>7.4907576068033777E-2</v>
      </c>
      <c r="AN150">
        <v>3.4462438628959688E-2</v>
      </c>
      <c r="AO150">
        <v>4.8278885755487499E-2</v>
      </c>
      <c r="AP150">
        <v>2.9902092439573452E-2</v>
      </c>
      <c r="AQ150">
        <v>1.0449100029941816E-2</v>
      </c>
      <c r="AR150">
        <v>1.2728146641114386E-2</v>
      </c>
      <c r="AS150">
        <v>1.4341576002786884E-2</v>
      </c>
      <c r="AT150">
        <v>3.1070084861293219E-2</v>
      </c>
      <c r="AU150">
        <v>2.9458067878063199</v>
      </c>
      <c r="AV150" s="5">
        <v>74.624174359999998</v>
      </c>
      <c r="AW150" s="6">
        <v>102.53333333333333</v>
      </c>
      <c r="AX150" s="6">
        <f t="shared" si="8"/>
        <v>4.6301879489633793</v>
      </c>
      <c r="AY150" s="5">
        <f t="shared" si="10"/>
        <v>5.6311291747814352</v>
      </c>
      <c r="AZ150" s="5">
        <f t="shared" si="9"/>
        <v>3.5388709012185657</v>
      </c>
      <c r="BA150" s="5">
        <f>$C150-AY151</f>
        <v>5.4165345791823469</v>
      </c>
      <c r="BB150">
        <v>1.162863</v>
      </c>
      <c r="BC150">
        <v>3.4561694246450451E-3</v>
      </c>
      <c r="BD150">
        <v>13.743332860000001</v>
      </c>
      <c r="BE150" s="5">
        <f>BD150-AY150</f>
        <v>8.1122036852185655</v>
      </c>
      <c r="BF150" s="5">
        <f>BD150-AY151</f>
        <v>9.9898673631823467</v>
      </c>
    </row>
    <row r="151" spans="1:58" x14ac:dyDescent="0.25">
      <c r="A151" t="s">
        <v>161</v>
      </c>
      <c r="B151">
        <v>0</v>
      </c>
      <c r="C151">
        <v>9.7966661449999997</v>
      </c>
      <c r="D151">
        <v>0</v>
      </c>
      <c r="E151">
        <v>0.39300000699999998</v>
      </c>
      <c r="F151">
        <v>4.1405599860190634</v>
      </c>
      <c r="G151">
        <v>3.9493573250748359</v>
      </c>
      <c r="H151">
        <v>3.9612192368553942</v>
      </c>
      <c r="I151">
        <v>3.7250908360765083</v>
      </c>
      <c r="J151">
        <v>5.2698150060753246</v>
      </c>
      <c r="K151">
        <v>-0.15958057248932922</v>
      </c>
      <c r="L151">
        <v>150</v>
      </c>
      <c r="M151">
        <v>22500</v>
      </c>
      <c r="N151">
        <v>0</v>
      </c>
      <c r="O151" s="4">
        <v>4.0439981877853626</v>
      </c>
      <c r="P151" s="4">
        <v>3.9311979848141871</v>
      </c>
      <c r="Q151" s="4">
        <v>3.3646371263503529</v>
      </c>
      <c r="R151">
        <v>4.2684120012568792E-3</v>
      </c>
      <c r="S151" s="5">
        <v>5.7720000000000002</v>
      </c>
      <c r="T151" s="5">
        <v>13.279</v>
      </c>
      <c r="U151">
        <f t="shared" si="11"/>
        <v>5.772E-2</v>
      </c>
      <c r="V151">
        <f t="shared" si="12"/>
        <v>0.13278999999999999</v>
      </c>
      <c r="W151" s="1">
        <v>8484109925543040</v>
      </c>
      <c r="X151" s="2">
        <v>7.1280746859999997</v>
      </c>
      <c r="Y151" s="2">
        <v>7.1781417029999997</v>
      </c>
      <c r="Z151" s="2">
        <v>8.8898871429999993</v>
      </c>
      <c r="AA151" s="2">
        <v>-1.4256949370000001</v>
      </c>
      <c r="AB151">
        <v>5.7482023701052889E-2</v>
      </c>
      <c r="AC151">
        <v>2.2633136365255498E-2</v>
      </c>
      <c r="AD151">
        <v>1.8882929013647097E-2</v>
      </c>
      <c r="AE151">
        <v>1.398635168853019E-2</v>
      </c>
      <c r="AF151">
        <v>1.1199369716290947E-2</v>
      </c>
      <c r="AG151">
        <v>8.0115160066308394E-2</v>
      </c>
      <c r="AH151">
        <v>9.8998089079955498E-2</v>
      </c>
      <c r="AI151">
        <v>0.11298444076848568</v>
      </c>
      <c r="AJ151">
        <v>0.12418381048477663</v>
      </c>
      <c r="AK151">
        <v>4.1516065378902595E-2</v>
      </c>
      <c r="AL151">
        <v>5.5502417067432787E-2</v>
      </c>
      <c r="AM151">
        <v>6.6701786783723738E-2</v>
      </c>
      <c r="AN151">
        <v>3.2869280702177289E-2</v>
      </c>
      <c r="AO151">
        <v>4.4068650418468233E-2</v>
      </c>
      <c r="AP151">
        <v>2.5185721404821136E-2</v>
      </c>
      <c r="AQ151">
        <v>7.0536267499429067E-3</v>
      </c>
      <c r="AR151">
        <v>7.2235313119452874E-3</v>
      </c>
      <c r="AS151">
        <v>2.139520275272979E-2</v>
      </c>
      <c r="AT151">
        <v>3.8293616173238509E-2</v>
      </c>
      <c r="AU151">
        <v>2.9433916332849401</v>
      </c>
      <c r="AV151" s="5">
        <v>75.262995649999993</v>
      </c>
      <c r="AW151" s="6">
        <v>103.5</v>
      </c>
      <c r="AX151" s="6">
        <f t="shared" si="8"/>
        <v>4.6395716127054234</v>
      </c>
      <c r="AY151" s="5">
        <f t="shared" si="10"/>
        <v>3.753465496817654</v>
      </c>
      <c r="AZ151" s="5">
        <f t="shared" si="9"/>
        <v>6.0432006481823457</v>
      </c>
      <c r="BA151" s="5">
        <f>$C151-AY152</f>
        <v>6.3334410477539187</v>
      </c>
      <c r="BB151">
        <v>1.280896</v>
      </c>
      <c r="BC151">
        <v>8.5066398504758667E-4</v>
      </c>
      <c r="BD151">
        <v>14.69999981</v>
      </c>
      <c r="BE151" s="5">
        <f>BD151-AY151</f>
        <v>10.946534313182346</v>
      </c>
      <c r="BF151" s="5">
        <f>BD151-AY152</f>
        <v>11.236774712753919</v>
      </c>
    </row>
    <row r="152" spans="1:58" x14ac:dyDescent="0.25">
      <c r="A152" t="s">
        <v>162</v>
      </c>
      <c r="B152">
        <v>0</v>
      </c>
      <c r="C152">
        <v>10.31999969</v>
      </c>
      <c r="D152">
        <v>8</v>
      </c>
      <c r="E152">
        <v>0.39300000699999998</v>
      </c>
      <c r="F152">
        <v>4.1479169242276202</v>
      </c>
      <c r="G152">
        <v>3.9590401701912024</v>
      </c>
      <c r="H152">
        <v>3.97008640998488</v>
      </c>
      <c r="I152">
        <v>3.7462045207332055</v>
      </c>
      <c r="J152">
        <v>5.273378973756186</v>
      </c>
      <c r="K152">
        <v>-0.15255959615345741</v>
      </c>
      <c r="L152">
        <v>151</v>
      </c>
      <c r="M152">
        <v>22801</v>
      </c>
      <c r="N152">
        <v>0</v>
      </c>
      <c r="O152" s="4">
        <v>4.0447690897788284</v>
      </c>
      <c r="P152" s="4">
        <v>3.9441416353096059</v>
      </c>
      <c r="Q152" s="4">
        <v>3.3649482489870342</v>
      </c>
      <c r="R152">
        <v>-2.6460058783456458E-2</v>
      </c>
      <c r="S152" s="5">
        <v>5.69</v>
      </c>
      <c r="T152" s="5">
        <v>3.0569999999999999</v>
      </c>
      <c r="U152">
        <f t="shared" si="11"/>
        <v>5.6900000000000006E-2</v>
      </c>
      <c r="V152">
        <f t="shared" si="12"/>
        <v>3.057E-2</v>
      </c>
      <c r="W152" s="1">
        <v>8491498902315410</v>
      </c>
      <c r="X152" s="2">
        <v>7.1361035890000002</v>
      </c>
      <c r="Y152" s="2">
        <v>7.1857972029999999</v>
      </c>
      <c r="Z152" s="2">
        <v>8.8996762230000002</v>
      </c>
      <c r="AA152" s="2">
        <v>-1.0778726409999999</v>
      </c>
      <c r="AB152">
        <v>2.0386943392768215E-2</v>
      </c>
      <c r="AC152">
        <v>1.8388373923208641E-2</v>
      </c>
      <c r="AD152">
        <v>1.4575234387453848E-2</v>
      </c>
      <c r="AE152">
        <v>1.957219228639848E-3</v>
      </c>
      <c r="AF152">
        <v>1.2679288949731211E-2</v>
      </c>
      <c r="AG152">
        <v>3.8775317315976859E-2</v>
      </c>
      <c r="AH152">
        <v>5.3350551703430706E-2</v>
      </c>
      <c r="AI152">
        <v>5.5307770932070552E-2</v>
      </c>
      <c r="AJ152">
        <v>6.7987059881801759E-2</v>
      </c>
      <c r="AK152">
        <v>3.2963608310662487E-2</v>
      </c>
      <c r="AL152">
        <v>3.4920827539302333E-2</v>
      </c>
      <c r="AM152">
        <v>4.7600116489033548E-2</v>
      </c>
      <c r="AN152">
        <v>1.6532453616093696E-2</v>
      </c>
      <c r="AO152">
        <v>2.9211742565824907E-2</v>
      </c>
      <c r="AP152">
        <v>1.4636508178371059E-2</v>
      </c>
      <c r="AQ152">
        <v>9.4327608485197945E-5</v>
      </c>
      <c r="AR152">
        <v>-9.1478228791658997E-3</v>
      </c>
      <c r="AS152">
        <v>2.1489530361214988E-2</v>
      </c>
      <c r="AT152">
        <v>2.914579329407261E-2</v>
      </c>
      <c r="AU152">
        <v>3.0027235721892001</v>
      </c>
      <c r="AV152" s="5">
        <v>75.867727590000001</v>
      </c>
      <c r="AW152" s="6">
        <v>104.4</v>
      </c>
      <c r="AX152" s="6">
        <f t="shared" si="8"/>
        <v>4.6482296754485386</v>
      </c>
      <c r="AY152" s="5">
        <f t="shared" si="10"/>
        <v>3.463225097246081</v>
      </c>
      <c r="AZ152" s="5">
        <f t="shared" si="9"/>
        <v>6.8567745927539185</v>
      </c>
      <c r="BA152" s="5">
        <f>$C152-AY153</f>
        <v>6.8865022134436309</v>
      </c>
      <c r="BB152">
        <v>1.315059</v>
      </c>
      <c r="BC152">
        <v>-9.9424676306613564E-3</v>
      </c>
      <c r="BD152">
        <v>14.710000040000001</v>
      </c>
      <c r="BE152" s="5">
        <f>BD152-AY152</f>
        <v>11.24677494275392</v>
      </c>
      <c r="BF152" s="5">
        <f>BD152-AY153</f>
        <v>11.276502563443632</v>
      </c>
    </row>
    <row r="153" spans="1:58" x14ac:dyDescent="0.25">
      <c r="A153" t="s">
        <v>163</v>
      </c>
      <c r="B153">
        <v>0</v>
      </c>
      <c r="C153">
        <v>8.8033332820000005</v>
      </c>
      <c r="D153">
        <v>0</v>
      </c>
      <c r="E153">
        <v>0.39300000699999998</v>
      </c>
      <c r="F153">
        <v>4.1691273066657866</v>
      </c>
      <c r="G153">
        <v>3.9671359954810579</v>
      </c>
      <c r="H153">
        <v>3.9801953015885667</v>
      </c>
      <c r="I153">
        <v>3.7639869266007415</v>
      </c>
      <c r="J153">
        <v>5.2769813642330412</v>
      </c>
      <c r="K153">
        <v>-0.14973828317012838</v>
      </c>
      <c r="L153">
        <v>152</v>
      </c>
      <c r="M153">
        <v>23104</v>
      </c>
      <c r="N153">
        <v>0</v>
      </c>
      <c r="O153" s="4">
        <v>4.0524282191208094</v>
      </c>
      <c r="P153" s="4">
        <v>3.9554847128386816</v>
      </c>
      <c r="Q153" s="4">
        <v>3.3968881100740571</v>
      </c>
      <c r="R153">
        <v>1.4258910942870962E-2</v>
      </c>
      <c r="S153" s="5">
        <v>5.2939999999999996</v>
      </c>
      <c r="T153" s="5">
        <v>1.264</v>
      </c>
      <c r="U153">
        <f t="shared" si="11"/>
        <v>5.2939999999999994E-2</v>
      </c>
      <c r="V153">
        <f t="shared" si="12"/>
        <v>1.264E-2</v>
      </c>
      <c r="W153" s="1">
        <v>850436992362901</v>
      </c>
      <c r="X153" s="2">
        <v>7.1572848430000002</v>
      </c>
      <c r="Y153" s="2">
        <v>7.2028644130000004</v>
      </c>
      <c r="Z153" s="2">
        <v>8.9076258769999992</v>
      </c>
      <c r="AA153" s="2">
        <v>1.3293225609999999</v>
      </c>
      <c r="AB153">
        <v>1.7934460824794152E-2</v>
      </c>
      <c r="AC153">
        <v>7.135364711069311E-3</v>
      </c>
      <c r="AD153">
        <v>1.0967748591152002E-2</v>
      </c>
      <c r="AE153">
        <v>1.5180135375059382E-2</v>
      </c>
      <c r="AF153">
        <v>1.1828048767197907E-2</v>
      </c>
      <c r="AG153">
        <v>2.5069825535863462E-2</v>
      </c>
      <c r="AH153">
        <v>3.6037574127015463E-2</v>
      </c>
      <c r="AI153">
        <v>5.1217709502074847E-2</v>
      </c>
      <c r="AJ153">
        <v>6.304575826927275E-2</v>
      </c>
      <c r="AK153">
        <v>1.8103113302221314E-2</v>
      </c>
      <c r="AL153">
        <v>3.3283248677280698E-2</v>
      </c>
      <c r="AM153">
        <v>4.5111297444478601E-2</v>
      </c>
      <c r="AN153">
        <v>2.6147883966211385E-2</v>
      </c>
      <c r="AO153">
        <v>3.7975932733409296E-2</v>
      </c>
      <c r="AP153">
        <v>2.7008184142257287E-2</v>
      </c>
      <c r="AQ153">
        <v>1.5706596861276186E-3</v>
      </c>
      <c r="AR153">
        <v>4.0715061114557916E-3</v>
      </c>
      <c r="AS153">
        <v>2.3060190047342607E-2</v>
      </c>
      <c r="AT153">
        <v>3.3217299405528401E-2</v>
      </c>
      <c r="AU153">
        <v>3.0796769699416902</v>
      </c>
      <c r="AV153" s="5">
        <v>76.353794030000003</v>
      </c>
      <c r="AW153" s="6">
        <v>105.3</v>
      </c>
      <c r="AX153" s="6">
        <f t="shared" si="8"/>
        <v>4.6568134191399295</v>
      </c>
      <c r="AY153" s="5">
        <f t="shared" si="10"/>
        <v>3.4334974765563686</v>
      </c>
      <c r="AZ153" s="5">
        <f t="shared" si="9"/>
        <v>5.3698358054436319</v>
      </c>
      <c r="BA153" s="5">
        <f>$C153-AY154</f>
        <v>5.1480376387917666</v>
      </c>
      <c r="BB153">
        <v>1.3527739999999999</v>
      </c>
      <c r="BC153">
        <v>3.683338577058444E-3</v>
      </c>
      <c r="BD153">
        <v>13.606666560000001</v>
      </c>
      <c r="BE153" s="5">
        <f>BD153-AY153</f>
        <v>10.173169083443632</v>
      </c>
      <c r="BF153" s="5">
        <f>BD153-AY154</f>
        <v>9.9513709167917668</v>
      </c>
    </row>
    <row r="154" spans="1:58" x14ac:dyDescent="0.25">
      <c r="A154" t="s">
        <v>164</v>
      </c>
      <c r="B154">
        <v>0</v>
      </c>
      <c r="C154">
        <v>8.1833333970000002</v>
      </c>
      <c r="D154">
        <v>8.8000000000000007</v>
      </c>
      <c r="E154">
        <v>0.398999989</v>
      </c>
      <c r="F154">
        <v>4.180522258463153</v>
      </c>
      <c r="G154">
        <v>3.976536526253212</v>
      </c>
      <c r="H154">
        <v>3.9942484927961277</v>
      </c>
      <c r="I154">
        <v>3.7716798942070846</v>
      </c>
      <c r="J154">
        <v>5.2837112141586742</v>
      </c>
      <c r="K154">
        <v>-0.14652257495183463</v>
      </c>
      <c r="L154">
        <v>153</v>
      </c>
      <c r="M154">
        <v>23409</v>
      </c>
      <c r="N154">
        <v>0</v>
      </c>
      <c r="O154" s="4">
        <v>4.0585273838011018</v>
      </c>
      <c r="P154" s="4">
        <v>3.9733814755590862</v>
      </c>
      <c r="Q154" s="4">
        <v>3.4310474036310405</v>
      </c>
      <c r="R154">
        <v>3.4678533239011272E-3</v>
      </c>
      <c r="S154" s="5">
        <v>2.42</v>
      </c>
      <c r="T154" s="5">
        <v>-2.2909999999999999</v>
      </c>
      <c r="U154">
        <f t="shared" si="11"/>
        <v>2.4199999999999999E-2</v>
      </c>
      <c r="V154">
        <f t="shared" si="12"/>
        <v>-2.291E-2</v>
      </c>
      <c r="W154" s="1">
        <v>8521217682278150</v>
      </c>
      <c r="X154" s="2">
        <v>7.169706294</v>
      </c>
      <c r="Y154" s="2">
        <v>7.2602124830000001</v>
      </c>
      <c r="Z154" s="2">
        <v>8.9175117450000005</v>
      </c>
      <c r="AA154" s="2">
        <v>0.28722718699999999</v>
      </c>
      <c r="AB154">
        <v>9.2076666967968509E-3</v>
      </c>
      <c r="AC154">
        <v>1.3707784951197037E-2</v>
      </c>
      <c r="AD154">
        <v>1.2811048560786187E-2</v>
      </c>
      <c r="AE154">
        <v>1.1596269516879509E-2</v>
      </c>
      <c r="AF154">
        <v>1.2567489046643747E-2</v>
      </c>
      <c r="AG154">
        <v>2.2915451647993888E-2</v>
      </c>
      <c r="AH154">
        <v>3.5726500208780071E-2</v>
      </c>
      <c r="AI154">
        <v>4.7322769725659582E-2</v>
      </c>
      <c r="AJ154">
        <v>5.9890258772303327E-2</v>
      </c>
      <c r="AK154">
        <v>2.6518833511983225E-2</v>
      </c>
      <c r="AL154">
        <v>3.8115103028862736E-2</v>
      </c>
      <c r="AM154">
        <v>5.0682592075506482E-2</v>
      </c>
      <c r="AN154">
        <v>2.4407318077665698E-2</v>
      </c>
      <c r="AO154">
        <v>3.6974807124309443E-2</v>
      </c>
      <c r="AP154">
        <v>2.4163758563523256E-2</v>
      </c>
      <c r="AQ154">
        <v>3.7094954577183981E-4</v>
      </c>
      <c r="AR154">
        <v>1.3917029545344045E-4</v>
      </c>
      <c r="AS154">
        <v>2.3431139593114447E-2</v>
      </c>
      <c r="AT154">
        <v>3.3356469700981842E-2</v>
      </c>
      <c r="AU154">
        <v>3.0906965008496101</v>
      </c>
      <c r="AV154" s="5">
        <v>77.199429989999999</v>
      </c>
      <c r="AW154" s="6">
        <v>106.26666666666667</v>
      </c>
      <c r="AX154" s="6">
        <f t="shared" si="8"/>
        <v>4.6659516582479501</v>
      </c>
      <c r="AY154" s="5">
        <f t="shared" si="10"/>
        <v>3.655295643208234</v>
      </c>
      <c r="AZ154" s="5">
        <f t="shared" si="9"/>
        <v>4.5280377537917662</v>
      </c>
      <c r="BA154" s="5">
        <f>$C154-AY155</f>
        <v>4.5611384654314993</v>
      </c>
      <c r="BB154">
        <v>1.3653789999999999</v>
      </c>
      <c r="BC154">
        <v>-7.2809710400106864E-6</v>
      </c>
      <c r="BD154">
        <v>13.393333439999999</v>
      </c>
      <c r="BE154" s="5">
        <f>BD154-AY154</f>
        <v>9.7380377967917653</v>
      </c>
      <c r="BF154" s="5">
        <f>BD154-AY155</f>
        <v>9.7711385084314983</v>
      </c>
    </row>
    <row r="155" spans="1:58" x14ac:dyDescent="0.25">
      <c r="A155" t="s">
        <v>165</v>
      </c>
      <c r="B155">
        <v>0</v>
      </c>
      <c r="C155">
        <v>7.4600000380000004</v>
      </c>
      <c r="D155">
        <v>0</v>
      </c>
      <c r="E155">
        <v>0.398999989</v>
      </c>
      <c r="F155">
        <v>4.2027055718921655</v>
      </c>
      <c r="G155">
        <v>3.984957432103807</v>
      </c>
      <c r="H155">
        <v>4.0029076429502775</v>
      </c>
      <c r="I155">
        <v>3.7841669063872656</v>
      </c>
      <c r="J155">
        <v>5.2895994759283136</v>
      </c>
      <c r="K155">
        <v>-0.14201165526783102</v>
      </c>
      <c r="L155">
        <v>154</v>
      </c>
      <c r="M155">
        <v>23716</v>
      </c>
      <c r="N155">
        <v>0</v>
      </c>
      <c r="O155" s="4">
        <v>4.0662879644395753</v>
      </c>
      <c r="P155" s="4">
        <v>3.9824255495262859</v>
      </c>
      <c r="Q155" s="4">
        <v>3.4428510302622675</v>
      </c>
      <c r="R155">
        <v>1.0398809318601683E-2</v>
      </c>
      <c r="S155" s="5">
        <v>3.7</v>
      </c>
      <c r="T155" s="5">
        <v>0.219</v>
      </c>
      <c r="U155">
        <f t="shared" si="11"/>
        <v>3.7000000000000005E-2</v>
      </c>
      <c r="V155">
        <f t="shared" si="12"/>
        <v>2.1900000000000001E-3</v>
      </c>
      <c r="W155" s="1">
        <v>8530356177942510</v>
      </c>
      <c r="X155" s="2">
        <v>7.1925277740000002</v>
      </c>
      <c r="Y155" s="2">
        <v>7.2165908459999999</v>
      </c>
      <c r="Z155" s="2">
        <v>8.9266370399999992</v>
      </c>
      <c r="AA155" s="2">
        <v>0.69064316999999997</v>
      </c>
      <c r="AB155">
        <v>1.9144617641375834E-2</v>
      </c>
      <c r="AC155">
        <v>1.190142046932185E-2</v>
      </c>
      <c r="AD155">
        <v>1.4495155856968254E-2</v>
      </c>
      <c r="AE155">
        <v>1.0013263171762992E-2</v>
      </c>
      <c r="AF155">
        <v>1.116840690145131E-2</v>
      </c>
      <c r="AG155">
        <v>3.1046038110697685E-2</v>
      </c>
      <c r="AH155">
        <v>4.5541193967665941E-2</v>
      </c>
      <c r="AI155">
        <v>5.5554457139428935E-2</v>
      </c>
      <c r="AJ155">
        <v>6.672286404088025E-2</v>
      </c>
      <c r="AK155">
        <v>2.6396576326290104E-2</v>
      </c>
      <c r="AL155">
        <v>3.6409839498053098E-2</v>
      </c>
      <c r="AM155">
        <v>4.7578246399504406E-2</v>
      </c>
      <c r="AN155">
        <v>2.4508419028731247E-2</v>
      </c>
      <c r="AO155">
        <v>3.5676825930182558E-2</v>
      </c>
      <c r="AP155">
        <v>2.1181670073214302E-2</v>
      </c>
      <c r="AQ155">
        <v>1.9892582486244065E-3</v>
      </c>
      <c r="AR155">
        <v>-5.6496762625634495E-4</v>
      </c>
      <c r="AS155">
        <v>2.5420397841738853E-2</v>
      </c>
      <c r="AT155">
        <v>3.2791502074725497E-2</v>
      </c>
      <c r="AU155">
        <v>3.1551161373038799</v>
      </c>
      <c r="AV155" s="5">
        <v>77.639774650000007</v>
      </c>
      <c r="AW155" s="6">
        <v>107.23333333333333</v>
      </c>
      <c r="AX155" s="6">
        <f t="shared" si="8"/>
        <v>4.6750071455768714</v>
      </c>
      <c r="AY155" s="5">
        <f t="shared" si="10"/>
        <v>3.6221949315685009</v>
      </c>
      <c r="AZ155" s="5">
        <f t="shared" si="9"/>
        <v>3.8378051064314995</v>
      </c>
      <c r="BA155" s="5">
        <f>$C155-AY156</f>
        <v>4.9809093631130814</v>
      </c>
      <c r="BB155">
        <v>1.3628549999999999</v>
      </c>
      <c r="BC155">
        <v>3.1692930941238043E-3</v>
      </c>
      <c r="BD155">
        <v>13.019999500000001</v>
      </c>
      <c r="BE155" s="5">
        <f>BD155-AY155</f>
        <v>9.3978045684314999</v>
      </c>
      <c r="BF155" s="5">
        <f>BD155-AY156</f>
        <v>10.540908825113082</v>
      </c>
    </row>
    <row r="156" spans="1:58" x14ac:dyDescent="0.25">
      <c r="A156" t="s">
        <v>166</v>
      </c>
      <c r="B156">
        <v>0</v>
      </c>
      <c r="C156">
        <v>7.1066665650000003</v>
      </c>
      <c r="D156">
        <v>0</v>
      </c>
      <c r="E156">
        <v>0.398999989</v>
      </c>
      <c r="F156">
        <v>4.2283362655540584</v>
      </c>
      <c r="G156">
        <v>4.0004733466120301</v>
      </c>
      <c r="H156">
        <v>4.0145927698397186</v>
      </c>
      <c r="I156">
        <v>3.7760887281873132</v>
      </c>
      <c r="J156">
        <v>5.2939980517238068</v>
      </c>
      <c r="K156">
        <v>-0.12939225952502678</v>
      </c>
      <c r="L156">
        <v>155</v>
      </c>
      <c r="M156">
        <v>24025</v>
      </c>
      <c r="N156">
        <v>0</v>
      </c>
      <c r="O156" s="4">
        <v>4.0744819331258491</v>
      </c>
      <c r="P156" s="4">
        <v>3.9957941384928235</v>
      </c>
      <c r="Q156" s="4">
        <v>3.5049265674246324</v>
      </c>
      <c r="R156">
        <v>2.1081955443045759E-2</v>
      </c>
      <c r="S156" s="5">
        <v>4.08</v>
      </c>
      <c r="T156" s="5">
        <v>11.984999999999999</v>
      </c>
      <c r="U156">
        <f t="shared" si="11"/>
        <v>4.0800000000000003E-2</v>
      </c>
      <c r="V156">
        <f t="shared" si="12"/>
        <v>0.11985</v>
      </c>
      <c r="W156" s="1">
        <v>8549171394642550</v>
      </c>
      <c r="X156" s="2">
        <v>7.2172023169999999</v>
      </c>
      <c r="Y156" s="2">
        <v>7.2630023230000003</v>
      </c>
      <c r="Z156" s="2">
        <v>8.9420686929999995</v>
      </c>
      <c r="AA156" s="2">
        <v>-0.457573332</v>
      </c>
      <c r="AB156">
        <v>1.2322180214574922E-2</v>
      </c>
      <c r="AC156">
        <v>1.226942775367407E-2</v>
      </c>
      <c r="AD156">
        <v>9.2576882086950699E-3</v>
      </c>
      <c r="AE156">
        <v>9.2682213988193787E-3</v>
      </c>
      <c r="AF156">
        <v>4.4285056688603214E-3</v>
      </c>
      <c r="AG156">
        <v>2.4591607968248993E-2</v>
      </c>
      <c r="AH156">
        <v>3.3849296176944065E-2</v>
      </c>
      <c r="AI156">
        <v>4.3117517575763445E-2</v>
      </c>
      <c r="AJ156">
        <v>4.7546023244623765E-2</v>
      </c>
      <c r="AK156">
        <v>2.1527115962369142E-2</v>
      </c>
      <c r="AL156">
        <v>3.0795337361188523E-2</v>
      </c>
      <c r="AM156">
        <v>3.5223843030048843E-2</v>
      </c>
      <c r="AN156">
        <v>1.8525909607514449E-2</v>
      </c>
      <c r="AO156">
        <v>2.2954415276374769E-2</v>
      </c>
      <c r="AP156">
        <v>1.3696727067679701E-2</v>
      </c>
      <c r="AQ156">
        <v>-2.9813030663621044E-3</v>
      </c>
      <c r="AR156">
        <v>-4.8814885689940357E-3</v>
      </c>
      <c r="AS156">
        <v>2.2439094775376749E-2</v>
      </c>
      <c r="AT156">
        <v>2.7910013505731461E-2</v>
      </c>
      <c r="AU156">
        <v>3.17244859586665</v>
      </c>
      <c r="AV156" s="5">
        <v>77.956575860000001</v>
      </c>
      <c r="AW156" s="6">
        <v>107.9</v>
      </c>
      <c r="AX156" s="6">
        <f t="shared" si="8"/>
        <v>4.6812048722640887</v>
      </c>
      <c r="AY156" s="5">
        <f t="shared" si="10"/>
        <v>2.479090674886919</v>
      </c>
      <c r="AZ156" s="5">
        <f t="shared" si="9"/>
        <v>4.6275758901130812</v>
      </c>
      <c r="BA156" s="5">
        <f>$C156-AY157</f>
        <v>3.0494625789780825</v>
      </c>
      <c r="BB156">
        <v>1.3412459999999999</v>
      </c>
      <c r="BC156">
        <v>-2.7787250259651321E-4</v>
      </c>
      <c r="BD156">
        <v>12.47000027</v>
      </c>
      <c r="BE156" s="5">
        <f>BD156-AY156</f>
        <v>9.9909095951130809</v>
      </c>
      <c r="BF156" s="5">
        <f>BD156-AY157</f>
        <v>8.4127962839780821</v>
      </c>
    </row>
    <row r="157" spans="1:58" x14ac:dyDescent="0.25">
      <c r="A157" t="s">
        <v>167</v>
      </c>
      <c r="B157">
        <v>0</v>
      </c>
      <c r="C157">
        <v>7.1666665079999996</v>
      </c>
      <c r="D157">
        <v>0</v>
      </c>
      <c r="E157">
        <v>0.398999989</v>
      </c>
      <c r="F157">
        <v>4.2342948926482178</v>
      </c>
      <c r="G157">
        <v>4.0080238557555736</v>
      </c>
      <c r="H157">
        <v>4.022849663810371</v>
      </c>
      <c r="I157">
        <v>3.7947923171998323</v>
      </c>
      <c r="J157">
        <v>5.2993418415942246</v>
      </c>
      <c r="K157">
        <v>-0.11632356726727119</v>
      </c>
      <c r="L157">
        <v>156</v>
      </c>
      <c r="M157">
        <v>24336</v>
      </c>
      <c r="N157">
        <v>0</v>
      </c>
      <c r="O157" s="4">
        <v>4.0833510207472354</v>
      </c>
      <c r="P157" s="4">
        <v>4.0037996770115756</v>
      </c>
      <c r="Q157" s="4">
        <v>3.4698835394506022</v>
      </c>
      <c r="R157">
        <v>-1.2652461796833145E-2</v>
      </c>
      <c r="S157" s="5">
        <v>3.5840000000000001</v>
      </c>
      <c r="T157" s="5">
        <v>3.4510000000000001</v>
      </c>
      <c r="U157">
        <f t="shared" si="11"/>
        <v>3.5840000000000004E-2</v>
      </c>
      <c r="V157">
        <f t="shared" si="12"/>
        <v>3.4509999999999999E-2</v>
      </c>
      <c r="W157" s="1">
        <v>8551332361525080</v>
      </c>
      <c r="X157" s="2">
        <v>7.2229952949999996</v>
      </c>
      <c r="Y157" s="2">
        <v>7.2715329659999997</v>
      </c>
      <c r="Z157" s="2">
        <v>8.9495468729999992</v>
      </c>
      <c r="AA157" s="2">
        <v>3.0439807029999999</v>
      </c>
      <c r="AB157">
        <v>-1.0248238894331246E-2</v>
      </c>
      <c r="AC157">
        <v>-1.1034286530360365E-3</v>
      </c>
      <c r="AD157">
        <v>4.1011726760762654E-3</v>
      </c>
      <c r="AE157">
        <v>8.5285443519552643E-3</v>
      </c>
      <c r="AF157">
        <v>7.0019957321244448E-3</v>
      </c>
      <c r="AG157">
        <v>-1.1351667547367283E-2</v>
      </c>
      <c r="AH157">
        <v>-7.2504948712910173E-3</v>
      </c>
      <c r="AI157">
        <v>1.278049480664247E-3</v>
      </c>
      <c r="AJ157">
        <v>8.2800452127886927E-3</v>
      </c>
      <c r="AK157">
        <v>2.9977440230402287E-3</v>
      </c>
      <c r="AL157">
        <v>1.1526288374995492E-2</v>
      </c>
      <c r="AM157">
        <v>1.8528284107119937E-2</v>
      </c>
      <c r="AN157">
        <v>1.2629717028031531E-2</v>
      </c>
      <c r="AO157">
        <v>1.9631712760155975E-2</v>
      </c>
      <c r="AP157">
        <v>1.5530540084079709E-2</v>
      </c>
      <c r="AQ157">
        <v>-1.5528165584474219E-2</v>
      </c>
      <c r="AR157">
        <v>-1.1428126901379277E-2</v>
      </c>
      <c r="AS157">
        <v>6.9109291909025296E-3</v>
      </c>
      <c r="AT157">
        <v>1.6481886604352184E-2</v>
      </c>
      <c r="AU157">
        <v>3.2576760364382902</v>
      </c>
      <c r="AV157" s="5">
        <v>78.467604199999997</v>
      </c>
      <c r="AW157" s="6">
        <v>109</v>
      </c>
      <c r="AX157" s="6">
        <f t="shared" si="8"/>
        <v>4.6913478822291435</v>
      </c>
      <c r="AY157" s="5">
        <f t="shared" si="10"/>
        <v>4.0572039860219178</v>
      </c>
      <c r="AZ157" s="5">
        <f t="shared" si="9"/>
        <v>3.1094625219780818</v>
      </c>
      <c r="BA157" s="5">
        <f>$C157-AY158</f>
        <v>5.09254259883192</v>
      </c>
      <c r="BB157">
        <v>1.253044</v>
      </c>
      <c r="BC157">
        <v>-3.7580582485450048E-3</v>
      </c>
      <c r="BD157">
        <v>11.97666645</v>
      </c>
      <c r="BE157" s="5">
        <f>BD157-AY157</f>
        <v>7.919462463978082</v>
      </c>
      <c r="BF157" s="5">
        <f>BD157-AY158</f>
        <v>9.9025425408319201</v>
      </c>
    </row>
    <row r="158" spans="1:58" x14ac:dyDescent="0.25">
      <c r="A158" t="s">
        <v>168</v>
      </c>
      <c r="B158">
        <v>0</v>
      </c>
      <c r="C158">
        <v>6.8966665269999998</v>
      </c>
      <c r="D158">
        <v>4.2</v>
      </c>
      <c r="E158">
        <v>0.400999993</v>
      </c>
      <c r="F158">
        <v>4.2450464446355936</v>
      </c>
      <c r="G158">
        <v>4.0175894998708861</v>
      </c>
      <c r="H158">
        <v>4.0293160021017043</v>
      </c>
      <c r="I158">
        <v>3.7962304873764827</v>
      </c>
      <c r="J158">
        <v>5.2977722179815547</v>
      </c>
      <c r="K158">
        <v>-0.10883158070472676</v>
      </c>
      <c r="L158">
        <v>157</v>
      </c>
      <c r="M158">
        <v>24649</v>
      </c>
      <c r="N158">
        <v>0</v>
      </c>
      <c r="O158" s="4">
        <v>4.0959599234899526</v>
      </c>
      <c r="P158" s="4">
        <v>4.0072604553149871</v>
      </c>
      <c r="Q158" s="4">
        <v>3.4900930932887357</v>
      </c>
      <c r="R158">
        <v>-4.2231820484657113E-3</v>
      </c>
      <c r="S158" s="5">
        <v>0.94499999999999995</v>
      </c>
      <c r="T158" s="5">
        <v>-16.048999999999999</v>
      </c>
      <c r="U158">
        <f t="shared" si="11"/>
        <v>9.4500000000000001E-3</v>
      </c>
      <c r="V158">
        <f t="shared" si="12"/>
        <v>-0.16048999999999999</v>
      </c>
      <c r="W158" s="1">
        <v>8560032541705300</v>
      </c>
      <c r="X158" s="2">
        <v>7.2252976569999996</v>
      </c>
      <c r="Y158" s="2">
        <v>7.2845427090000001</v>
      </c>
      <c r="Z158" s="2">
        <v>8.9587716260000008</v>
      </c>
      <c r="AA158" s="2">
        <v>2.0482694609999998</v>
      </c>
      <c r="AB158">
        <v>-2.4176780311987268E-2</v>
      </c>
      <c r="AC158">
        <v>-6.1288010355719808E-3</v>
      </c>
      <c r="AD158">
        <v>4.5334330576628171E-3</v>
      </c>
      <c r="AE158">
        <v>4.6985172618221229E-5</v>
      </c>
      <c r="AF158">
        <v>1.7045439258832041E-3</v>
      </c>
      <c r="AG158">
        <v>-3.030558134755925E-2</v>
      </c>
      <c r="AH158">
        <v>-2.5772148289896435E-2</v>
      </c>
      <c r="AI158">
        <v>-2.5725163117278214E-2</v>
      </c>
      <c r="AJ158">
        <v>-2.4020619191395011E-2</v>
      </c>
      <c r="AK158">
        <v>-1.5953679779091637E-3</v>
      </c>
      <c r="AL158">
        <v>-1.5483828052909425E-3</v>
      </c>
      <c r="AM158">
        <v>1.5616112059226158E-4</v>
      </c>
      <c r="AN158">
        <v>4.5804182302810383E-3</v>
      </c>
      <c r="AO158">
        <v>6.2849621561642428E-3</v>
      </c>
      <c r="AP158">
        <v>1.7515290985014253E-3</v>
      </c>
      <c r="AQ158">
        <v>-1.4225085005940694E-2</v>
      </c>
      <c r="AR158">
        <v>-2.1180095565446918E-2</v>
      </c>
      <c r="AS158">
        <v>-7.3141558150381647E-3</v>
      </c>
      <c r="AT158">
        <v>-4.6982089610947339E-3</v>
      </c>
      <c r="AU158">
        <v>3.3139825487177998</v>
      </c>
      <c r="AV158" s="5">
        <v>78.866953409999994</v>
      </c>
      <c r="AW158" s="6">
        <v>109.56666666666666</v>
      </c>
      <c r="AX158" s="6">
        <f t="shared" si="8"/>
        <v>4.6965331920020637</v>
      </c>
      <c r="AY158" s="5">
        <f t="shared" si="10"/>
        <v>2.0741239091680796</v>
      </c>
      <c r="AZ158" s="5">
        <f t="shared" si="9"/>
        <v>4.8225426178319202</v>
      </c>
      <c r="BA158" s="5">
        <f>$C158-AY159</f>
        <v>8.8484849773340315</v>
      </c>
      <c r="BB158">
        <v>1.295512</v>
      </c>
      <c r="BC158">
        <v>4.6097892983246718E-3</v>
      </c>
      <c r="BD158">
        <v>11.016666409999999</v>
      </c>
      <c r="BE158" s="5">
        <f>BD158-AY158</f>
        <v>8.9425425008319195</v>
      </c>
      <c r="BF158" s="5">
        <f>BD158-AY159</f>
        <v>12.96848486033403</v>
      </c>
    </row>
    <row r="159" spans="1:58" x14ac:dyDescent="0.25">
      <c r="A159" t="s">
        <v>169</v>
      </c>
      <c r="B159">
        <v>0</v>
      </c>
      <c r="C159">
        <v>6.1399998660000001</v>
      </c>
      <c r="D159">
        <v>0</v>
      </c>
      <c r="E159">
        <v>0.400999993</v>
      </c>
      <c r="F159">
        <v>4.2660825321430558</v>
      </c>
      <c r="G159">
        <v>4.0215946418574369</v>
      </c>
      <c r="H159">
        <v>4.0359585763414589</v>
      </c>
      <c r="I159">
        <v>3.7938473927234759</v>
      </c>
      <c r="J159">
        <v>5.3011483555146013</v>
      </c>
      <c r="K159">
        <v>-0.10313818477701103</v>
      </c>
      <c r="L159">
        <v>158</v>
      </c>
      <c r="M159">
        <v>24964</v>
      </c>
      <c r="N159">
        <v>0</v>
      </c>
      <c r="O159" s="4">
        <v>4.1048228065097279</v>
      </c>
      <c r="P159" s="4">
        <v>4.0128994827959099</v>
      </c>
      <c r="Q159" s="4">
        <v>3.5248004848572627</v>
      </c>
      <c r="R159">
        <v>3.7516586272915702E-2</v>
      </c>
      <c r="S159" s="5">
        <v>0.41699999999999998</v>
      </c>
      <c r="T159" s="5">
        <v>6.5419999999999998</v>
      </c>
      <c r="U159">
        <f t="shared" si="11"/>
        <v>4.1700000000000001E-3</v>
      </c>
      <c r="V159">
        <f t="shared" si="12"/>
        <v>6.5419999999999992E-2</v>
      </c>
      <c r="W159" s="1">
        <v>8570870441920950</v>
      </c>
      <c r="X159" s="2">
        <v>7.2445826660000003</v>
      </c>
      <c r="Y159" s="2">
        <v>7.2749720780000002</v>
      </c>
      <c r="Z159" s="2">
        <v>8.9633522859999992</v>
      </c>
      <c r="AA159" s="2">
        <v>3.149059378</v>
      </c>
      <c r="AB159">
        <v>8.4548430585818721E-3</v>
      </c>
      <c r="AC159">
        <v>9.9708460784646812E-3</v>
      </c>
      <c r="AD159">
        <v>8.551543044803071E-3</v>
      </c>
      <c r="AE159">
        <v>3.4766886237998267E-4</v>
      </c>
      <c r="AF159">
        <v>4.9573299213252521E-3</v>
      </c>
      <c r="AG159">
        <v>1.8425689137046553E-2</v>
      </c>
      <c r="AH159">
        <v>2.6977232181849622E-2</v>
      </c>
      <c r="AI159">
        <v>2.7324901044229605E-2</v>
      </c>
      <c r="AJ159">
        <v>3.2282230965554853E-2</v>
      </c>
      <c r="AK159">
        <v>1.852238912326775E-2</v>
      </c>
      <c r="AL159">
        <v>1.8870057985647733E-2</v>
      </c>
      <c r="AM159">
        <v>2.3827387906972985E-2</v>
      </c>
      <c r="AN159">
        <v>8.8992119071830533E-3</v>
      </c>
      <c r="AO159">
        <v>1.3856541828508305E-2</v>
      </c>
      <c r="AP159">
        <v>5.3049987837052344E-3</v>
      </c>
      <c r="AQ159">
        <v>1.3941970892986712E-2</v>
      </c>
      <c r="AR159">
        <v>1.258509582948349E-2</v>
      </c>
      <c r="AS159">
        <v>6.6278150779485474E-3</v>
      </c>
      <c r="AT159">
        <v>7.8868868683887559E-3</v>
      </c>
      <c r="AU159">
        <v>3.3344881414571801</v>
      </c>
      <c r="AV159" s="5">
        <v>79.283025629999997</v>
      </c>
      <c r="AW159" s="6">
        <v>109.03333333333333</v>
      </c>
      <c r="AX159" s="6">
        <f t="shared" si="8"/>
        <v>4.6916536458762286</v>
      </c>
      <c r="AY159" s="5">
        <f t="shared" si="10"/>
        <v>-1.9518184503340308</v>
      </c>
      <c r="AZ159" s="5">
        <f t="shared" si="9"/>
        <v>8.0918183163340309</v>
      </c>
      <c r="BA159" s="5">
        <f>$C159-AY160</f>
        <v>3.7017113040174401</v>
      </c>
      <c r="BB159">
        <v>1.203722</v>
      </c>
      <c r="BC159">
        <v>4.3103371696577089E-3</v>
      </c>
      <c r="BD159">
        <v>10.27333355</v>
      </c>
      <c r="BE159" s="5">
        <f>BD159-AY159</f>
        <v>12.225152000334031</v>
      </c>
      <c r="BF159" s="5">
        <f>BD159-AY160</f>
        <v>7.8350449880174402</v>
      </c>
    </row>
    <row r="160" spans="1:58" x14ac:dyDescent="0.25">
      <c r="A160" t="s">
        <v>170</v>
      </c>
      <c r="B160">
        <v>0</v>
      </c>
      <c r="C160">
        <v>5.5233335490000002</v>
      </c>
      <c r="D160">
        <v>0</v>
      </c>
      <c r="E160">
        <v>0.400999993</v>
      </c>
      <c r="F160">
        <v>4.2884574384777183</v>
      </c>
      <c r="G160">
        <v>4.0311917472168322</v>
      </c>
      <c r="H160">
        <v>4.0421553250186752</v>
      </c>
      <c r="I160">
        <v>3.7882042916574159</v>
      </c>
      <c r="J160">
        <v>5.3028869102624068</v>
      </c>
      <c r="K160">
        <v>-9.6671910151313892E-2</v>
      </c>
      <c r="L160">
        <v>159</v>
      </c>
      <c r="M160">
        <v>25281</v>
      </c>
      <c r="N160">
        <v>0</v>
      </c>
      <c r="O160" s="4">
        <v>4.1068987607934524</v>
      </c>
      <c r="P160" s="4">
        <v>4.0209312205516259</v>
      </c>
      <c r="Q160" s="4">
        <v>3.6066656412963569</v>
      </c>
      <c r="R160">
        <v>2.7177754079909196E-2</v>
      </c>
      <c r="S160" s="5">
        <v>2.8839999999999999</v>
      </c>
      <c r="T160" s="5">
        <v>0.72099999999999997</v>
      </c>
      <c r="U160">
        <f t="shared" si="11"/>
        <v>2.8839999999999998E-2</v>
      </c>
      <c r="V160">
        <f t="shared" si="12"/>
        <v>7.2099999999999994E-3</v>
      </c>
      <c r="W160" s="1">
        <v>8588406076847670</v>
      </c>
      <c r="X160" s="2">
        <v>7.2699996550000003</v>
      </c>
      <c r="Y160" s="2">
        <v>7.2896600679999999</v>
      </c>
      <c r="Z160" s="2">
        <v>8.9733640880000003</v>
      </c>
      <c r="AA160" s="2">
        <v>3.3136001340000001</v>
      </c>
      <c r="AB160">
        <v>1.0789735559935975E-3</v>
      </c>
      <c r="AC160">
        <v>1.1745954442741154E-2</v>
      </c>
      <c r="AD160">
        <v>-2.4528927743709098E-3</v>
      </c>
      <c r="AE160">
        <v>1.211309782775994E-3</v>
      </c>
      <c r="AF160">
        <v>6.6676696723944971E-3</v>
      </c>
      <c r="AG160">
        <v>1.2824927998734751E-2</v>
      </c>
      <c r="AH160">
        <v>1.0372035224363842E-2</v>
      </c>
      <c r="AI160">
        <v>1.1583345007139836E-2</v>
      </c>
      <c r="AJ160">
        <v>1.8251014679534334E-2</v>
      </c>
      <c r="AK160">
        <v>9.2930616683702446E-3</v>
      </c>
      <c r="AL160">
        <v>1.0504371451146239E-2</v>
      </c>
      <c r="AM160">
        <v>1.7172041123540736E-2</v>
      </c>
      <c r="AN160">
        <v>-1.2415829915949157E-3</v>
      </c>
      <c r="AO160">
        <v>5.4260866807995817E-3</v>
      </c>
      <c r="AP160">
        <v>7.8789794551704911E-3</v>
      </c>
      <c r="AQ160">
        <v>3.9384976118719134E-4</v>
      </c>
      <c r="AR160">
        <v>-3.3521703773620667E-3</v>
      </c>
      <c r="AS160">
        <v>7.0216648391357387E-3</v>
      </c>
      <c r="AT160">
        <v>4.5347164910266892E-3</v>
      </c>
      <c r="AU160">
        <v>3.3521718120400301</v>
      </c>
      <c r="AV160" s="5">
        <v>79.734767790000006</v>
      </c>
      <c r="AW160" s="6">
        <v>109.7</v>
      </c>
      <c r="AX160" s="6">
        <f t="shared" si="8"/>
        <v>4.697749367281185</v>
      </c>
      <c r="AY160" s="5">
        <f t="shared" si="10"/>
        <v>2.4382885619825601</v>
      </c>
      <c r="AZ160" s="5">
        <f t="shared" si="9"/>
        <v>3.0850449870174401</v>
      </c>
      <c r="BA160" s="5">
        <f>$C160-AY161</f>
        <v>2.737553931732819</v>
      </c>
      <c r="BB160">
        <v>1.1950959999999999</v>
      </c>
      <c r="BC160">
        <v>4.1858944246119401E-4</v>
      </c>
      <c r="BD160">
        <v>10.18000031</v>
      </c>
      <c r="BE160" s="5">
        <f>BD160-AY160</f>
        <v>7.7417117480174404</v>
      </c>
      <c r="BF160" s="5">
        <f>BD160-AY161</f>
        <v>7.3942206927328193</v>
      </c>
    </row>
    <row r="161" spans="1:58" x14ac:dyDescent="0.25">
      <c r="A161" t="s">
        <v>171</v>
      </c>
      <c r="B161">
        <v>0</v>
      </c>
      <c r="C161">
        <v>5.3533334730000002</v>
      </c>
      <c r="D161">
        <v>22.7</v>
      </c>
      <c r="E161">
        <v>0.400999993</v>
      </c>
      <c r="F161">
        <v>4.282703413379096</v>
      </c>
      <c r="G161">
        <v>4.0360089852091372</v>
      </c>
      <c r="H161">
        <v>4.052123234230173</v>
      </c>
      <c r="I161">
        <v>3.7948372913397095</v>
      </c>
      <c r="J161">
        <v>5.3114556796882644</v>
      </c>
      <c r="K161">
        <v>-8.9390638728462132E-2</v>
      </c>
      <c r="L161">
        <v>160</v>
      </c>
      <c r="M161">
        <v>25600</v>
      </c>
      <c r="N161">
        <v>-1.9905149956582727E-2</v>
      </c>
      <c r="O161" s="4">
        <v>4.1149965019529615</v>
      </c>
      <c r="P161" s="4">
        <v>4.0316532228821806</v>
      </c>
      <c r="Q161" s="4">
        <v>3.5906876263474015</v>
      </c>
      <c r="R161">
        <v>-2.7388831164245488E-2</v>
      </c>
      <c r="S161" s="5">
        <v>3.3719999999999999</v>
      </c>
      <c r="T161" s="5">
        <v>9.8719999999999999</v>
      </c>
      <c r="U161">
        <f t="shared" si="11"/>
        <v>3.372E-2</v>
      </c>
      <c r="V161">
        <f t="shared" si="12"/>
        <v>9.8720000000000002E-2</v>
      </c>
      <c r="W161" s="1">
        <v>8594520832013230</v>
      </c>
      <c r="X161" s="2">
        <v>7.2630364710000004</v>
      </c>
      <c r="Y161" s="2">
        <v>7.3219858210000002</v>
      </c>
      <c r="Z161" s="2">
        <v>8.97853441</v>
      </c>
      <c r="AA161" s="2">
        <v>4.8299641900000001</v>
      </c>
      <c r="AB161">
        <v>1.677328824482743E-2</v>
      </c>
      <c r="AC161">
        <v>-9.6121016689254182E-3</v>
      </c>
      <c r="AD161">
        <v>-1.0156227536084843E-3</v>
      </c>
      <c r="AE161">
        <v>5.0232261657491475E-3</v>
      </c>
      <c r="AF161">
        <v>9.5885672716590781E-3</v>
      </c>
      <c r="AG161">
        <v>7.1611865759020118E-3</v>
      </c>
      <c r="AH161">
        <v>6.1455638222935273E-3</v>
      </c>
      <c r="AI161">
        <v>1.1168789988042674E-2</v>
      </c>
      <c r="AJ161">
        <v>2.075735725970175E-2</v>
      </c>
      <c r="AK161">
        <v>-1.0627724422533902E-2</v>
      </c>
      <c r="AL161">
        <v>-5.6044982567847543E-3</v>
      </c>
      <c r="AM161">
        <v>3.9840690148743238E-3</v>
      </c>
      <c r="AN161">
        <v>4.007603412140663E-3</v>
      </c>
      <c r="AO161">
        <v>1.359617068379974E-2</v>
      </c>
      <c r="AP161">
        <v>1.4611793437408226E-2</v>
      </c>
      <c r="AQ161">
        <v>-9.3861414309389865E-3</v>
      </c>
      <c r="AR161">
        <v>-1.1030584937584336E-2</v>
      </c>
      <c r="AS161">
        <v>-2.3644765918032478E-3</v>
      </c>
      <c r="AT161">
        <v>-6.4958684465576469E-3</v>
      </c>
      <c r="AU161">
        <v>3.38865721449692</v>
      </c>
      <c r="AV161" s="5">
        <v>80.270318020000005</v>
      </c>
      <c r="AW161" s="6">
        <v>110.46666666666667</v>
      </c>
      <c r="AX161" s="6">
        <f t="shared" si="8"/>
        <v>4.7047138163243529</v>
      </c>
      <c r="AY161" s="5">
        <f t="shared" si="10"/>
        <v>2.7857796172671812</v>
      </c>
      <c r="AZ161" s="5">
        <f t="shared" si="9"/>
        <v>2.567553855732819</v>
      </c>
      <c r="BA161" s="5">
        <f>$C161-AY162</f>
        <v>0.55423571434172292</v>
      </c>
      <c r="BB161">
        <v>1.1747300000000001</v>
      </c>
      <c r="BC161">
        <v>6.9148960248235289E-3</v>
      </c>
      <c r="BD161">
        <v>10.09333324</v>
      </c>
      <c r="BE161" s="5">
        <f>BD161-AY161</f>
        <v>7.3075536227328186</v>
      </c>
      <c r="BF161" s="5">
        <f>BD161-AY162</f>
        <v>5.2942354813417225</v>
      </c>
    </row>
    <row r="162" spans="1:58" x14ac:dyDescent="0.25">
      <c r="A162" t="s">
        <v>172</v>
      </c>
      <c r="B162">
        <v>0</v>
      </c>
      <c r="C162">
        <v>5.5366668700000004</v>
      </c>
      <c r="D162">
        <v>-7.2</v>
      </c>
      <c r="E162">
        <v>0.375</v>
      </c>
      <c r="F162">
        <v>4.2867814527571486</v>
      </c>
      <c r="G162">
        <v>4.0415413565622078</v>
      </c>
      <c r="H162">
        <v>4.0621615937979474</v>
      </c>
      <c r="I162">
        <v>3.7748277662503011</v>
      </c>
      <c r="J162">
        <v>5.3227026148336689</v>
      </c>
      <c r="K162">
        <v>-9.2667618258657353E-2</v>
      </c>
      <c r="L162">
        <v>161</v>
      </c>
      <c r="M162">
        <v>25921</v>
      </c>
      <c r="N162">
        <v>0</v>
      </c>
      <c r="O162" s="4">
        <v>4.1163017295741424</v>
      </c>
      <c r="P162" s="4">
        <v>4.043367007457233</v>
      </c>
      <c r="Q162" s="4">
        <v>3.5295319608798033</v>
      </c>
      <c r="R162">
        <v>1.5549469827061676E-2</v>
      </c>
      <c r="S162" s="5">
        <v>-0.92700000000000005</v>
      </c>
      <c r="T162" s="5">
        <v>-5.3659999999999997</v>
      </c>
      <c r="U162">
        <f t="shared" si="11"/>
        <v>-9.2700000000000005E-3</v>
      </c>
      <c r="V162">
        <f t="shared" si="12"/>
        <v>-5.3659999999999999E-2</v>
      </c>
      <c r="W162" s="1">
        <v>85955184867195</v>
      </c>
      <c r="X162" s="2">
        <v>7.2683347029999998</v>
      </c>
      <c r="Y162" s="2">
        <v>7.3163126900000002</v>
      </c>
      <c r="Z162" s="2">
        <v>8.9854953739999992</v>
      </c>
      <c r="AA162" s="2">
        <v>3.348836151</v>
      </c>
      <c r="AB162">
        <v>-2.2019757870945567E-2</v>
      </c>
      <c r="AC162">
        <v>-2.7108503752120902E-4</v>
      </c>
      <c r="AD162">
        <v>6.2510848661294369E-3</v>
      </c>
      <c r="AE162">
        <v>2.38983446548586E-2</v>
      </c>
      <c r="AF162">
        <v>-1.7598739498271961E-2</v>
      </c>
      <c r="AG162">
        <v>-2.2290842908466776E-2</v>
      </c>
      <c r="AH162">
        <v>-1.603975804233734E-2</v>
      </c>
      <c r="AI162">
        <v>7.8585866125212601E-3</v>
      </c>
      <c r="AJ162">
        <v>-9.7401528857507004E-3</v>
      </c>
      <c r="AK162">
        <v>5.9799998286082278E-3</v>
      </c>
      <c r="AL162">
        <v>2.9878344483466827E-2</v>
      </c>
      <c r="AM162">
        <v>1.2279604985194866E-2</v>
      </c>
      <c r="AN162">
        <v>3.0149429520988036E-2</v>
      </c>
      <c r="AO162">
        <v>1.2550690022716075E-2</v>
      </c>
      <c r="AP162">
        <v>6.2996051565866393E-3</v>
      </c>
      <c r="AQ162">
        <v>1.9723964164675648E-3</v>
      </c>
      <c r="AR162">
        <v>1.6282173799667087E-2</v>
      </c>
      <c r="AS162">
        <v>-3.9208017533568298E-4</v>
      </c>
      <c r="AT162">
        <v>9.7863053531094396E-3</v>
      </c>
      <c r="AU162">
        <v>3.3863746364180201</v>
      </c>
      <c r="AV162" s="5">
        <v>81.018730009999999</v>
      </c>
      <c r="AW162" s="6">
        <v>111.8</v>
      </c>
      <c r="AX162" s="6">
        <f t="shared" si="8"/>
        <v>4.7167115607209986</v>
      </c>
      <c r="AY162" s="5">
        <f t="shared" si="10"/>
        <v>4.7990977586582773</v>
      </c>
      <c r="AZ162" s="5">
        <f t="shared" si="9"/>
        <v>0.73756911134172309</v>
      </c>
      <c r="BA162" s="5">
        <f>$C162-AY163</f>
        <v>1.0302450585442484</v>
      </c>
      <c r="BB162">
        <v>1.1059110000000001</v>
      </c>
      <c r="BC162">
        <v>4.3871368872947245E-3</v>
      </c>
      <c r="BD162">
        <v>9.6599998469999999</v>
      </c>
      <c r="BE162" s="5">
        <f>BD162-AY162</f>
        <v>4.8609020883417227</v>
      </c>
      <c r="BF162" s="5">
        <f>BD162-AY163</f>
        <v>5.153578035544248</v>
      </c>
    </row>
    <row r="163" spans="1:58" x14ac:dyDescent="0.25">
      <c r="A163" t="s">
        <v>173</v>
      </c>
      <c r="B163">
        <v>0</v>
      </c>
      <c r="C163">
        <v>5.6566667559999999</v>
      </c>
      <c r="D163">
        <v>0</v>
      </c>
      <c r="E163">
        <v>0.375</v>
      </c>
      <c r="F163">
        <v>4.2930861253772337</v>
      </c>
      <c r="G163">
        <v>4.0521153280043638</v>
      </c>
      <c r="H163">
        <v>4.0710732083940062</v>
      </c>
      <c r="I163">
        <v>3.7925635653908181</v>
      </c>
      <c r="J163">
        <v>5.3252903040494628</v>
      </c>
      <c r="K163">
        <v>-9.0352744430231877E-2</v>
      </c>
      <c r="L163">
        <v>162</v>
      </c>
      <c r="M163">
        <v>26244</v>
      </c>
      <c r="N163">
        <v>0</v>
      </c>
      <c r="O163" s="4">
        <v>4.1239033644636454</v>
      </c>
      <c r="P163" s="4">
        <v>4.0528278820191668</v>
      </c>
      <c r="Q163" s="4">
        <v>3.5697298601419294</v>
      </c>
      <c r="R163">
        <v>1.4115665315200133E-2</v>
      </c>
      <c r="S163" s="5">
        <v>1.411</v>
      </c>
      <c r="T163" s="5">
        <v>-3.5000000000000003E-2</v>
      </c>
      <c r="U163">
        <f t="shared" si="11"/>
        <v>1.4110000000000001E-2</v>
      </c>
      <c r="V163">
        <f t="shared" si="12"/>
        <v>-3.5000000000000005E-4</v>
      </c>
      <c r="W163" s="1">
        <v>860907313103157</v>
      </c>
      <c r="X163" s="2">
        <v>7.2784520590000001</v>
      </c>
      <c r="Y163" s="2">
        <v>7.3972494690000001</v>
      </c>
      <c r="Z163" s="2">
        <v>8.9966643620000006</v>
      </c>
      <c r="AA163" s="2">
        <v>2.8662513120000002</v>
      </c>
      <c r="AB163">
        <v>1.2021218255731665E-2</v>
      </c>
      <c r="AC163">
        <v>5.6269653094583594E-3</v>
      </c>
      <c r="AD163">
        <v>1.3738309688509122E-2</v>
      </c>
      <c r="AE163">
        <v>-9.8703255505840446E-3</v>
      </c>
      <c r="AF163">
        <v>1.8214012850764998E-3</v>
      </c>
      <c r="AG163">
        <v>1.7648183565190025E-2</v>
      </c>
      <c r="AH163">
        <v>3.1386493253699146E-2</v>
      </c>
      <c r="AI163">
        <v>2.1516167703115104E-2</v>
      </c>
      <c r="AJ163">
        <v>2.3337568988191604E-2</v>
      </c>
      <c r="AK163">
        <v>1.9365274997967481E-2</v>
      </c>
      <c r="AL163">
        <v>9.4949494473834366E-3</v>
      </c>
      <c r="AM163">
        <v>1.1316350732459936E-2</v>
      </c>
      <c r="AN163">
        <v>3.8679841379250773E-3</v>
      </c>
      <c r="AO163">
        <v>5.6893854230015773E-3</v>
      </c>
      <c r="AP163">
        <v>-8.0489242655075455E-3</v>
      </c>
      <c r="AQ163">
        <v>-1.0784154523020555E-2</v>
      </c>
      <c r="AR163">
        <v>-3.0557405753326387E-3</v>
      </c>
      <c r="AS163">
        <v>-1.1176234698356238E-2</v>
      </c>
      <c r="AT163">
        <v>6.7305647777768009E-3</v>
      </c>
      <c r="AU163">
        <v>3.3801851267724601</v>
      </c>
      <c r="AV163" s="5">
        <v>81.480901959999997</v>
      </c>
      <c r="AW163" s="6">
        <v>113.06666666666666</v>
      </c>
      <c r="AX163" s="6">
        <f t="shared" si="8"/>
        <v>4.727977615249638</v>
      </c>
      <c r="AY163" s="5">
        <f t="shared" si="10"/>
        <v>4.5064218114557519</v>
      </c>
      <c r="AZ163" s="5">
        <f t="shared" si="9"/>
        <v>1.150244944544248</v>
      </c>
      <c r="BA163" s="5">
        <f>$C163-AY164</f>
        <v>1.4337536336492533</v>
      </c>
      <c r="BB163">
        <v>1.041641</v>
      </c>
      <c r="BC163">
        <v>-2.3114461411536873E-2</v>
      </c>
      <c r="BD163">
        <v>10.356666560000001</v>
      </c>
      <c r="BE163" s="5">
        <f>BD163-AY163</f>
        <v>5.8502447485442488</v>
      </c>
      <c r="BF163" s="5">
        <f>BD163-AY164</f>
        <v>6.1337534376492542</v>
      </c>
    </row>
    <row r="164" spans="1:58" x14ac:dyDescent="0.25">
      <c r="A164" t="s">
        <v>174</v>
      </c>
      <c r="B164">
        <v>0</v>
      </c>
      <c r="C164">
        <v>6.04333353</v>
      </c>
      <c r="D164">
        <v>-20</v>
      </c>
      <c r="E164">
        <v>0.375</v>
      </c>
      <c r="F164">
        <v>4.2931134503946558</v>
      </c>
      <c r="G164">
        <v>4.060753307227011</v>
      </c>
      <c r="H164">
        <v>4.07723152660932</v>
      </c>
      <c r="I164">
        <v>3.8136160355152624</v>
      </c>
      <c r="J164">
        <v>5.3285798046749253</v>
      </c>
      <c r="K164">
        <v>-8.7994392857753997E-2</v>
      </c>
      <c r="L164">
        <v>163</v>
      </c>
      <c r="M164">
        <v>26569</v>
      </c>
      <c r="N164">
        <v>0</v>
      </c>
      <c r="O164" s="4">
        <v>4.1247282668565406</v>
      </c>
      <c r="P164" s="4">
        <v>4.0613219345243801</v>
      </c>
      <c r="Q164" s="4">
        <v>3.6102149629302538</v>
      </c>
      <c r="R164">
        <v>-4.5650874129772989E-3</v>
      </c>
      <c r="S164" s="5">
        <v>1.88</v>
      </c>
      <c r="T164" s="5">
        <v>2.8450000000000002</v>
      </c>
      <c r="U164">
        <f t="shared" si="11"/>
        <v>1.8799999999999997E-2</v>
      </c>
      <c r="V164">
        <f t="shared" si="12"/>
        <v>2.8450000000000003E-2</v>
      </c>
      <c r="W164" s="1">
        <v>8620421575696530</v>
      </c>
      <c r="X164" s="2">
        <v>7.280530336</v>
      </c>
      <c r="Y164" s="2">
        <v>7.3804119530000003</v>
      </c>
      <c r="Z164" s="2">
        <v>9.0056995840000003</v>
      </c>
      <c r="AA164" s="2">
        <v>1.597216293</v>
      </c>
      <c r="AB164">
        <v>2.0561458268543057E-2</v>
      </c>
      <c r="AC164">
        <v>1.5551336558925545E-2</v>
      </c>
      <c r="AD164">
        <v>-8.336301681682274E-3</v>
      </c>
      <c r="AE164">
        <v>1.6074067552634577E-3</v>
      </c>
      <c r="AF164">
        <v>3.3805433814454652E-3</v>
      </c>
      <c r="AG164">
        <v>3.6112794827468604E-2</v>
      </c>
      <c r="AH164">
        <v>2.777649314578633E-2</v>
      </c>
      <c r="AI164">
        <v>2.9383899901049788E-2</v>
      </c>
      <c r="AJ164">
        <v>3.2764443282495254E-2</v>
      </c>
      <c r="AK164">
        <v>7.2150348772432715E-3</v>
      </c>
      <c r="AL164">
        <v>8.8224416325067296E-3</v>
      </c>
      <c r="AM164">
        <v>1.2202985013952195E-2</v>
      </c>
      <c r="AN164">
        <v>-6.7288949264188158E-3</v>
      </c>
      <c r="AO164">
        <v>-3.3483515449733506E-3</v>
      </c>
      <c r="AP164">
        <v>4.9879501367089234E-3</v>
      </c>
      <c r="AQ164">
        <v>3.3470507393181942E-3</v>
      </c>
      <c r="AR164">
        <v>3.1330562095051523E-3</v>
      </c>
      <c r="AS164">
        <v>-7.8291839590380434E-3</v>
      </c>
      <c r="AT164">
        <v>9.8636209872819541E-3</v>
      </c>
      <c r="AU164">
        <v>3.35418877885555</v>
      </c>
      <c r="AV164" s="5">
        <v>82.121065880000003</v>
      </c>
      <c r="AW164" s="6">
        <v>114.26666666666667</v>
      </c>
      <c r="AX164" s="6">
        <f t="shared" si="8"/>
        <v>4.7385348980555149</v>
      </c>
      <c r="AY164" s="5">
        <f t="shared" si="10"/>
        <v>4.2229131223507466</v>
      </c>
      <c r="AZ164" s="5">
        <f t="shared" si="9"/>
        <v>1.8204204076492534</v>
      </c>
      <c r="BA164" s="5">
        <f>$C164-AY165</f>
        <v>2.3266981963600717</v>
      </c>
      <c r="BB164">
        <v>1.08046</v>
      </c>
      <c r="BC164">
        <v>-2.0897052931158101E-3</v>
      </c>
      <c r="BD164">
        <v>10.90666676</v>
      </c>
      <c r="BE164" s="5">
        <f>BD164-AY164</f>
        <v>6.6837536376492537</v>
      </c>
      <c r="BF164" s="5">
        <f>BD164-AY165</f>
        <v>7.190031426360072</v>
      </c>
    </row>
    <row r="165" spans="1:58" x14ac:dyDescent="0.25">
      <c r="A165" t="s">
        <v>175</v>
      </c>
      <c r="B165">
        <v>0</v>
      </c>
      <c r="C165">
        <v>5.8633332249999999</v>
      </c>
      <c r="D165">
        <v>0</v>
      </c>
      <c r="E165">
        <v>0.375</v>
      </c>
      <c r="F165">
        <v>4.3051455903379239</v>
      </c>
      <c r="G165">
        <v>4.0777238672057825</v>
      </c>
      <c r="H165">
        <v>4.0846189064825893</v>
      </c>
      <c r="I165">
        <v>3.8134836173384672</v>
      </c>
      <c r="J165">
        <v>5.3435918340825763</v>
      </c>
      <c r="K165">
        <v>-8.0285483644532252E-2</v>
      </c>
      <c r="L165">
        <v>164</v>
      </c>
      <c r="M165">
        <v>26896</v>
      </c>
      <c r="N165">
        <v>0</v>
      </c>
      <c r="O165" s="4">
        <v>4.1259401238118514</v>
      </c>
      <c r="P165" s="4">
        <v>4.0714682158877959</v>
      </c>
      <c r="Q165" s="4">
        <v>3.5828242527734315</v>
      </c>
      <c r="R165">
        <v>-7.8890029393277258E-4</v>
      </c>
      <c r="S165" s="5">
        <v>4.2279999999999998</v>
      </c>
      <c r="T165" s="5">
        <v>8.407</v>
      </c>
      <c r="U165">
        <f t="shared" si="11"/>
        <v>4.2279999999999998E-2</v>
      </c>
      <c r="V165">
        <f t="shared" si="12"/>
        <v>8.4070000000000006E-2</v>
      </c>
      <c r="W165" s="1">
        <v>8622534886896960</v>
      </c>
      <c r="X165" s="2">
        <v>7.2893191220000002</v>
      </c>
      <c r="Y165" s="2">
        <v>7.3925828469999999</v>
      </c>
      <c r="Z165" s="2">
        <v>9.0220570789999996</v>
      </c>
      <c r="AA165" s="2">
        <v>1.173613953</v>
      </c>
      <c r="AB165">
        <v>2.4955406720566925E-2</v>
      </c>
      <c r="AC165">
        <v>-2.132404504163634E-2</v>
      </c>
      <c r="AD165">
        <v>-1.7349900832540211E-3</v>
      </c>
      <c r="AE165">
        <v>5.569313288343169E-3</v>
      </c>
      <c r="AF165">
        <v>1.1473745473959783E-2</v>
      </c>
      <c r="AG165">
        <v>3.631361678930585E-3</v>
      </c>
      <c r="AH165">
        <v>1.8963715956765638E-3</v>
      </c>
      <c r="AI165">
        <v>7.4656848840197326E-3</v>
      </c>
      <c r="AJ165">
        <v>1.8939430357979514E-2</v>
      </c>
      <c r="AK165">
        <v>-2.3059035124890361E-2</v>
      </c>
      <c r="AL165">
        <v>-1.7489721836547192E-2</v>
      </c>
      <c r="AM165">
        <v>-6.015976362587409E-3</v>
      </c>
      <c r="AN165">
        <v>3.8343232050891476E-3</v>
      </c>
      <c r="AO165">
        <v>1.5308068679048931E-2</v>
      </c>
      <c r="AP165">
        <v>1.7043058762302953E-2</v>
      </c>
      <c r="AQ165">
        <v>-1.6330140198471545E-2</v>
      </c>
      <c r="AR165">
        <v>-1.4141370291573842E-2</v>
      </c>
      <c r="AS165">
        <v>-2.4159324157509588E-2</v>
      </c>
      <c r="AT165">
        <v>-4.2777493042918877E-3</v>
      </c>
      <c r="AU165">
        <v>3.4018137672408901</v>
      </c>
      <c r="AV165" s="5">
        <v>82.748979000000006</v>
      </c>
      <c r="AW165" s="6">
        <v>115.33333333333333</v>
      </c>
      <c r="AX165" s="6">
        <f t="shared" si="8"/>
        <v>4.7478264863896147</v>
      </c>
      <c r="AY165" s="5">
        <f t="shared" si="10"/>
        <v>3.7166353336399283</v>
      </c>
      <c r="AZ165" s="5">
        <f t="shared" si="9"/>
        <v>2.1466978913600716</v>
      </c>
      <c r="BA165" s="5">
        <f>$C165-AY166</f>
        <v>2.7540617754474912</v>
      </c>
      <c r="BB165">
        <v>0.97541999999999995</v>
      </c>
      <c r="BC165">
        <v>1.7657523043882858E-3</v>
      </c>
      <c r="BD165">
        <v>11.380000109999999</v>
      </c>
      <c r="BE165" s="5">
        <f>BD165-AY165</f>
        <v>7.663364776360071</v>
      </c>
      <c r="BF165" s="5">
        <f>BD165-AY166</f>
        <v>8.2707286604474906</v>
      </c>
    </row>
    <row r="166" spans="1:58" x14ac:dyDescent="0.25">
      <c r="A166" t="s">
        <v>176</v>
      </c>
      <c r="B166">
        <v>0</v>
      </c>
      <c r="C166">
        <v>5.7233333589999997</v>
      </c>
      <c r="D166">
        <v>19.100000000000001</v>
      </c>
      <c r="E166">
        <v>0.35600000599999998</v>
      </c>
      <c r="F166">
        <v>4.3002876975495559</v>
      </c>
      <c r="G166">
        <v>4.0828790841128226</v>
      </c>
      <c r="H166">
        <v>4.0962009449103656</v>
      </c>
      <c r="I166">
        <v>3.8121805704542249</v>
      </c>
      <c r="J166">
        <v>5.3457828441837503</v>
      </c>
      <c r="K166">
        <v>-7.1184917109930398E-2</v>
      </c>
      <c r="L166">
        <v>165</v>
      </c>
      <c r="M166">
        <v>27225</v>
      </c>
      <c r="N166">
        <v>-4.9558681984804731E-2</v>
      </c>
      <c r="O166" s="4">
        <v>4.136669426867102</v>
      </c>
      <c r="P166" s="4">
        <v>4.0834689701133939</v>
      </c>
      <c r="Q166" s="4">
        <v>3.6290763697431827</v>
      </c>
      <c r="R166">
        <v>-6.2240717374778855E-3</v>
      </c>
      <c r="S166" s="5">
        <v>-2.2959999999999998</v>
      </c>
      <c r="T166" s="5">
        <v>-7.7939999999999996</v>
      </c>
      <c r="U166">
        <f t="shared" si="11"/>
        <v>-2.2959999999999998E-2</v>
      </c>
      <c r="V166">
        <f t="shared" si="12"/>
        <v>-7.7939999999999995E-2</v>
      </c>
      <c r="W166" s="1">
        <v>8640045666833000</v>
      </c>
      <c r="X166" s="2">
        <v>7.2809359169999999</v>
      </c>
      <c r="Y166" s="2">
        <v>7.3941639930000003</v>
      </c>
      <c r="Z166" s="2">
        <v>9.0276667530000001</v>
      </c>
      <c r="AA166" s="2">
        <v>0.76325392800000003</v>
      </c>
      <c r="AB166">
        <v>-3.3449021649399578E-2</v>
      </c>
      <c r="AC166">
        <v>-1.8677046414015117E-3</v>
      </c>
      <c r="AD166">
        <v>4.3329806344526035E-3</v>
      </c>
      <c r="AE166">
        <v>1.6747106815289816E-2</v>
      </c>
      <c r="AF166">
        <v>-1.3050409134374916E-2</v>
      </c>
      <c r="AG166">
        <v>-3.5316726290801091E-2</v>
      </c>
      <c r="AH166">
        <v>-3.0983745656348489E-2</v>
      </c>
      <c r="AI166">
        <v>-1.4236638841058673E-2</v>
      </c>
      <c r="AJ166">
        <v>-2.728704797543359E-2</v>
      </c>
      <c r="AK166">
        <v>2.4652759930510917E-3</v>
      </c>
      <c r="AL166">
        <v>1.9212382808340908E-2</v>
      </c>
      <c r="AM166">
        <v>6.1619736739659918E-3</v>
      </c>
      <c r="AN166">
        <v>2.1080087449742421E-2</v>
      </c>
      <c r="AO166">
        <v>8.0296783153675048E-3</v>
      </c>
      <c r="AP166">
        <v>3.6966976809148996E-3</v>
      </c>
      <c r="AQ166">
        <v>-1.3690472120380559E-3</v>
      </c>
      <c r="AR166">
        <v>3.9043141292919772E-3</v>
      </c>
      <c r="AS166">
        <v>-2.5528371369547644E-2</v>
      </c>
      <c r="AT166">
        <v>-3.7343517499991048E-4</v>
      </c>
      <c r="AU166">
        <v>3.42323460967302</v>
      </c>
      <c r="AV166" s="5">
        <v>83.427742940000002</v>
      </c>
      <c r="AW166" s="6">
        <v>116.23333333333333</v>
      </c>
      <c r="AX166" s="6">
        <f t="shared" si="8"/>
        <v>4.755599665013496</v>
      </c>
      <c r="AY166" s="5">
        <f t="shared" si="10"/>
        <v>3.1092714495525087</v>
      </c>
      <c r="AZ166" s="5">
        <f t="shared" si="9"/>
        <v>2.6140619094474911</v>
      </c>
      <c r="BA166" s="5">
        <f>$C166-AY167</f>
        <v>1.1609799348397072</v>
      </c>
      <c r="BB166">
        <v>1.00667</v>
      </c>
      <c r="BC166">
        <v>4.3305275674287427E-3</v>
      </c>
      <c r="BD166">
        <v>10.75333309</v>
      </c>
      <c r="BE166" s="5">
        <f>BD166-AY166</f>
        <v>7.6440616404474913</v>
      </c>
      <c r="BF166" s="5">
        <f>BD166-AY167</f>
        <v>6.1909796658397074</v>
      </c>
    </row>
    <row r="167" spans="1:58" x14ac:dyDescent="0.25">
      <c r="A167" t="s">
        <v>177</v>
      </c>
      <c r="B167">
        <v>0</v>
      </c>
      <c r="C167">
        <v>6.2100000380000004</v>
      </c>
      <c r="D167">
        <v>0</v>
      </c>
      <c r="E167">
        <v>0.35600000599999998</v>
      </c>
      <c r="F167">
        <v>4.3029022552078917</v>
      </c>
      <c r="G167">
        <v>4.0956437179537204</v>
      </c>
      <c r="H167">
        <v>4.1045785554795486</v>
      </c>
      <c r="I167">
        <v>3.831550205278099</v>
      </c>
      <c r="J167">
        <v>5.359718157655375</v>
      </c>
      <c r="K167">
        <v>-6.6732917548643411E-2</v>
      </c>
      <c r="L167">
        <v>166</v>
      </c>
      <c r="M167">
        <v>27556</v>
      </c>
      <c r="N167">
        <v>0</v>
      </c>
      <c r="O167" s="4">
        <v>4.1445939786252275</v>
      </c>
      <c r="P167" s="4">
        <v>4.0920920271688068</v>
      </c>
      <c r="Q167" s="4">
        <v>3.6294213391637382</v>
      </c>
      <c r="R167">
        <v>-8.370011284872662E-3</v>
      </c>
      <c r="S167" s="5">
        <v>0.87</v>
      </c>
      <c r="T167" s="5">
        <v>-0.50900000000000001</v>
      </c>
      <c r="U167">
        <f t="shared" si="11"/>
        <v>8.6999999999999994E-3</v>
      </c>
      <c r="V167">
        <f t="shared" si="12"/>
        <v>-5.0899999999999999E-3</v>
      </c>
      <c r="W167" s="1">
        <v>864740111743874</v>
      </c>
      <c r="X167" s="2">
        <v>7.2832952229999997</v>
      </c>
      <c r="Y167" s="2">
        <v>7.3996174830000001</v>
      </c>
      <c r="Z167" s="2">
        <v>9.0407968279999995</v>
      </c>
      <c r="AA167" s="2">
        <v>-0.439576825</v>
      </c>
      <c r="AB167">
        <v>1.9654011213434207E-2</v>
      </c>
      <c r="AC167">
        <v>5.7580177848814418E-3</v>
      </c>
      <c r="AD167">
        <v>1.1879192098931535E-2</v>
      </c>
      <c r="AE167">
        <v>-1.0272165685623931E-2</v>
      </c>
      <c r="AF167">
        <v>1.9211527688516466E-3</v>
      </c>
      <c r="AG167">
        <v>2.5412028998315649E-2</v>
      </c>
      <c r="AH167">
        <v>3.7291221097247182E-2</v>
      </c>
      <c r="AI167">
        <v>2.701905541162325E-2</v>
      </c>
      <c r="AJ167">
        <v>2.8940208180474897E-2</v>
      </c>
      <c r="AK167">
        <v>1.7637209883812975E-2</v>
      </c>
      <c r="AL167">
        <v>7.3650441981890444E-3</v>
      </c>
      <c r="AM167">
        <v>9.2861969670406906E-3</v>
      </c>
      <c r="AN167">
        <v>1.6070264133076044E-3</v>
      </c>
      <c r="AO167">
        <v>3.528179182159251E-3</v>
      </c>
      <c r="AP167">
        <v>-8.3510129167722845E-3</v>
      </c>
      <c r="AQ167">
        <v>-3.4428775659294461E-3</v>
      </c>
      <c r="AR167">
        <v>-6.646341171784604E-4</v>
      </c>
      <c r="AS167">
        <v>-2.897124893547709E-2</v>
      </c>
      <c r="AT167">
        <v>-1.0380692921783709E-3</v>
      </c>
      <c r="AU167">
        <v>3.42815623144954</v>
      </c>
      <c r="AV167" s="5">
        <v>84.212190820000004</v>
      </c>
      <c r="AW167" s="6">
        <v>117.56666666666666</v>
      </c>
      <c r="AX167" s="6">
        <f t="shared" si="8"/>
        <v>4.7670055485738967</v>
      </c>
      <c r="AY167" s="5">
        <f t="shared" si="10"/>
        <v>4.5623534241602925</v>
      </c>
      <c r="AZ167" s="5">
        <f t="shared" si="9"/>
        <v>1.6476466138397079</v>
      </c>
      <c r="BA167" s="5">
        <f>$C167-AY168</f>
        <v>1.3628222229468285</v>
      </c>
      <c r="BB167">
        <v>0.95239799999999997</v>
      </c>
      <c r="BC167">
        <v>-1.358050165613911E-2</v>
      </c>
      <c r="BD167">
        <v>10.97999954</v>
      </c>
      <c r="BE167" s="5">
        <f>BD167-AY167</f>
        <v>6.4176461158397071</v>
      </c>
      <c r="BF167" s="5">
        <f>BD167-AY168</f>
        <v>6.1328217249468278</v>
      </c>
    </row>
    <row r="168" spans="1:58" x14ac:dyDescent="0.25">
      <c r="A168" t="s">
        <v>178</v>
      </c>
      <c r="B168">
        <v>0</v>
      </c>
      <c r="C168">
        <v>7.0099997519999997</v>
      </c>
      <c r="D168">
        <v>0</v>
      </c>
      <c r="E168">
        <v>0.35600000599999998</v>
      </c>
      <c r="F168">
        <v>4.3023203287442664</v>
      </c>
      <c r="G168">
        <v>4.1007904097054899</v>
      </c>
      <c r="H168">
        <v>4.1158748857337759</v>
      </c>
      <c r="I168">
        <v>3.8354011067767035</v>
      </c>
      <c r="J168">
        <v>5.3608648443737188</v>
      </c>
      <c r="K168">
        <v>-6.644981336220665E-2</v>
      </c>
      <c r="L168">
        <v>167</v>
      </c>
      <c r="M168">
        <v>27889</v>
      </c>
      <c r="N168">
        <v>0</v>
      </c>
      <c r="O168" s="4">
        <v>4.1514650123784751</v>
      </c>
      <c r="P168" s="4">
        <v>4.1052845022604352</v>
      </c>
      <c r="Q168" s="4">
        <v>3.6163087612791012</v>
      </c>
      <c r="R168">
        <v>-1.3275103328094029E-2</v>
      </c>
      <c r="S168" s="5">
        <v>2.2330000000000001</v>
      </c>
      <c r="T168" s="5">
        <v>-3.6040000000000001</v>
      </c>
      <c r="U168">
        <f t="shared" si="11"/>
        <v>2.2330000000000003E-2</v>
      </c>
      <c r="V168">
        <f t="shared" si="12"/>
        <v>-3.6040000000000003E-2</v>
      </c>
      <c r="W168" s="1">
        <v>8656247579185830</v>
      </c>
      <c r="X168" s="2">
        <v>7.2766893760000002</v>
      </c>
      <c r="Y168" s="2">
        <v>7.4136348490000001</v>
      </c>
      <c r="Z168" s="2">
        <v>9.0465500460000001</v>
      </c>
      <c r="AA168" s="2">
        <v>-1.3716230279999999</v>
      </c>
      <c r="AB168">
        <v>2.2246244419466175E-2</v>
      </c>
      <c r="AC168">
        <v>1.2704481013359038E-2</v>
      </c>
      <c r="AD168">
        <v>-5.7961010428782293E-3</v>
      </c>
      <c r="AE168">
        <v>6.9404915898268972E-4</v>
      </c>
      <c r="AF168">
        <v>3.8784501652695154E-3</v>
      </c>
      <c r="AG168">
        <v>3.4950725432825215E-2</v>
      </c>
      <c r="AH168">
        <v>2.9154624389946985E-2</v>
      </c>
      <c r="AI168">
        <v>2.9848673548929675E-2</v>
      </c>
      <c r="AJ168">
        <v>3.3727123714199191E-2</v>
      </c>
      <c r="AK168">
        <v>6.9083799704808086E-3</v>
      </c>
      <c r="AL168">
        <v>7.602429129463498E-3</v>
      </c>
      <c r="AM168">
        <v>1.1480879294733013E-2</v>
      </c>
      <c r="AN168">
        <v>-5.1020518838955399E-3</v>
      </c>
      <c r="AO168">
        <v>-1.2236017186260245E-3</v>
      </c>
      <c r="AP168">
        <v>4.5724993242522048E-3</v>
      </c>
      <c r="AQ168">
        <v>5.3013535571732042E-3</v>
      </c>
      <c r="AR168">
        <v>4.0742499473042475E-3</v>
      </c>
      <c r="AS168">
        <v>-2.3669895378303885E-2</v>
      </c>
      <c r="AT168">
        <v>3.0361806551258766E-3</v>
      </c>
      <c r="AU168">
        <v>3.432834638838</v>
      </c>
      <c r="AV168" s="5">
        <v>85.162615090000003</v>
      </c>
      <c r="AW168" s="6">
        <v>119</v>
      </c>
      <c r="AX168" s="6">
        <f t="shared" si="8"/>
        <v>4.7791234931115296</v>
      </c>
      <c r="AY168" s="5">
        <f t="shared" si="10"/>
        <v>4.8471778150531719</v>
      </c>
      <c r="AZ168" s="5">
        <f t="shared" si="9"/>
        <v>2.1628219369468278</v>
      </c>
      <c r="BA168" s="5">
        <f>$C168-AY169</f>
        <v>2.6639478043584726</v>
      </c>
      <c r="BB168">
        <v>0.97887900000000005</v>
      </c>
      <c r="BC168">
        <v>-2.7404607968294806E-3</v>
      </c>
      <c r="BD168">
        <v>11.07333279</v>
      </c>
      <c r="BE168" s="5">
        <f>BD168-AY168</f>
        <v>6.2261549749468283</v>
      </c>
      <c r="BF168" s="5">
        <f>BD168-AY169</f>
        <v>6.7272808423584731</v>
      </c>
    </row>
    <row r="169" spans="1:58" x14ac:dyDescent="0.25">
      <c r="A169" t="s">
        <v>179</v>
      </c>
      <c r="B169">
        <v>0</v>
      </c>
      <c r="C169">
        <v>7.7266664509999998</v>
      </c>
      <c r="D169">
        <v>0</v>
      </c>
      <c r="E169">
        <v>0.35600000599999998</v>
      </c>
      <c r="F169">
        <v>4.3224358532602443</v>
      </c>
      <c r="G169">
        <v>4.1140654868343018</v>
      </c>
      <c r="H169">
        <v>4.1253147458279393</v>
      </c>
      <c r="I169">
        <v>3.8453702508733696</v>
      </c>
      <c r="J169">
        <v>5.3714237658665276</v>
      </c>
      <c r="K169">
        <v>-6.7999443314160579E-2</v>
      </c>
      <c r="L169">
        <v>168</v>
      </c>
      <c r="M169">
        <v>28224</v>
      </c>
      <c r="N169">
        <v>-1.1433460371781909E-2</v>
      </c>
      <c r="O169" s="4">
        <v>4.1618318564517525</v>
      </c>
      <c r="P169" s="4">
        <v>4.1143432487287894</v>
      </c>
      <c r="Q169" s="4">
        <v>3.6418664598421833</v>
      </c>
      <c r="R169">
        <v>1.6885960845622973E-2</v>
      </c>
      <c r="S169" s="5">
        <v>3.6219999999999999</v>
      </c>
      <c r="T169" s="5">
        <v>5.6840000000000002</v>
      </c>
      <c r="U169">
        <f t="shared" si="11"/>
        <v>3.6220000000000002E-2</v>
      </c>
      <c r="V169">
        <f t="shared" si="12"/>
        <v>5.6840000000000002E-2</v>
      </c>
      <c r="W169" s="1">
        <v>8667553382122130</v>
      </c>
      <c r="X169" s="2">
        <v>7.2960269450000004</v>
      </c>
      <c r="Y169" s="2">
        <v>7.4312141120000001</v>
      </c>
      <c r="Z169" s="2">
        <v>9.0597035110000004</v>
      </c>
      <c r="AA169" s="2">
        <v>-1.6711061549999999</v>
      </c>
      <c r="AB169">
        <v>1.4739521255549719E-2</v>
      </c>
      <c r="AC169">
        <v>4.0162090357620077E-3</v>
      </c>
      <c r="AD169">
        <v>2.2214723495799392E-3</v>
      </c>
      <c r="AE169">
        <v>7.1647282158103195E-4</v>
      </c>
      <c r="AF169">
        <v>5.0921182368369733E-3</v>
      </c>
      <c r="AG169">
        <v>1.8755730291311726E-2</v>
      </c>
      <c r="AH169">
        <v>2.0977202640891666E-2</v>
      </c>
      <c r="AI169">
        <v>2.1693675462472698E-2</v>
      </c>
      <c r="AJ169">
        <v>2.6785793699309671E-2</v>
      </c>
      <c r="AK169">
        <v>6.2376813853419468E-3</v>
      </c>
      <c r="AL169">
        <v>6.9541542069229785E-3</v>
      </c>
      <c r="AM169">
        <v>1.2046272443759953E-2</v>
      </c>
      <c r="AN169">
        <v>2.9379451711609712E-3</v>
      </c>
      <c r="AO169">
        <v>8.0300634079979449E-3</v>
      </c>
      <c r="AP169">
        <v>5.8085910584180049E-3</v>
      </c>
      <c r="AQ169">
        <v>1.1339733269237488E-2</v>
      </c>
      <c r="AR169">
        <v>8.1777559255490039E-3</v>
      </c>
      <c r="AS169">
        <v>-1.2330162109066397E-2</v>
      </c>
      <c r="AT169">
        <v>1.121393658067488E-2</v>
      </c>
      <c r="AU169">
        <v>3.4468224973008401</v>
      </c>
      <c r="AV169" s="5">
        <v>85.807664020000004</v>
      </c>
      <c r="AW169" s="6">
        <v>120.3</v>
      </c>
      <c r="AX169" s="6">
        <f t="shared" si="8"/>
        <v>4.7899886229806334</v>
      </c>
      <c r="AY169" s="5">
        <f t="shared" si="10"/>
        <v>4.3460519476415271</v>
      </c>
      <c r="AZ169" s="5">
        <f t="shared" si="9"/>
        <v>3.3806145033584727</v>
      </c>
      <c r="BA169" s="5">
        <f>$C169-AY170</f>
        <v>3.2080896775007943</v>
      </c>
      <c r="BB169">
        <v>0.95774700000000001</v>
      </c>
      <c r="BC169">
        <v>1.2953858822943561E-3</v>
      </c>
      <c r="BD169">
        <v>10.513333319999999</v>
      </c>
      <c r="BE169" s="5">
        <f>BD169-AY169</f>
        <v>6.1672813723584721</v>
      </c>
      <c r="BF169" s="5">
        <f>BD169-AY170</f>
        <v>5.9947565465007937</v>
      </c>
    </row>
    <row r="170" spans="1:58" x14ac:dyDescent="0.25">
      <c r="A170" t="s">
        <v>180</v>
      </c>
      <c r="B170">
        <v>0</v>
      </c>
      <c r="C170">
        <v>8.5399999619999996</v>
      </c>
      <c r="D170">
        <v>0</v>
      </c>
      <c r="E170">
        <v>0.36000001399999998</v>
      </c>
      <c r="F170">
        <v>4.3162740435181322</v>
      </c>
      <c r="G170">
        <v>4.1234016204882087</v>
      </c>
      <c r="H170">
        <v>4.1303008238403471</v>
      </c>
      <c r="I170">
        <v>3.855283327435516</v>
      </c>
      <c r="J170">
        <v>5.3806390139262614</v>
      </c>
      <c r="K170">
        <v>-7.6466786232954304E-2</v>
      </c>
      <c r="L170">
        <v>169</v>
      </c>
      <c r="M170">
        <v>28561</v>
      </c>
      <c r="N170">
        <v>0</v>
      </c>
      <c r="O170" s="4">
        <v>4.1663550981983732</v>
      </c>
      <c r="P170" s="4">
        <v>4.1194923557547529</v>
      </c>
      <c r="Q170" s="4">
        <v>3.6374282525228576</v>
      </c>
      <c r="R170">
        <v>-2.4695286473379742E-2</v>
      </c>
      <c r="S170" s="5">
        <v>2.1219999999999999</v>
      </c>
      <c r="T170" s="5">
        <v>-1.0109999999999999</v>
      </c>
      <c r="U170">
        <f t="shared" si="11"/>
        <v>2.1219999999999999E-2</v>
      </c>
      <c r="V170">
        <f t="shared" si="12"/>
        <v>-1.0109999999999999E-2</v>
      </c>
      <c r="W170" s="1">
        <v>8672182091267480</v>
      </c>
      <c r="X170" s="2">
        <v>7.2931567890000002</v>
      </c>
      <c r="Y170" s="2">
        <v>7.4549002660000001</v>
      </c>
      <c r="Z170" s="2">
        <v>9.0697440819999997</v>
      </c>
      <c r="AA170" s="2">
        <v>-2.9819882529999999</v>
      </c>
      <c r="AB170">
        <v>-8.5975706510908268E-4</v>
      </c>
      <c r="AC170">
        <v>4.2007137630287146E-4</v>
      </c>
      <c r="AD170">
        <v>7.5958097454786595E-4</v>
      </c>
      <c r="AE170">
        <v>4.2872593853999809E-3</v>
      </c>
      <c r="AF170">
        <v>-6.2162770175229962E-3</v>
      </c>
      <c r="AG170">
        <v>-4.3968568880621122E-4</v>
      </c>
      <c r="AH170">
        <v>3.1989528574165473E-4</v>
      </c>
      <c r="AI170">
        <v>4.6071546711416358E-3</v>
      </c>
      <c r="AJ170">
        <v>-1.6091223463813604E-3</v>
      </c>
      <c r="AK170">
        <v>1.1796523508507374E-3</v>
      </c>
      <c r="AL170">
        <v>5.466911736250718E-3</v>
      </c>
      <c r="AM170">
        <v>-7.4936528127227814E-4</v>
      </c>
      <c r="AN170">
        <v>5.0468403599478471E-3</v>
      </c>
      <c r="AO170">
        <v>-1.1694366575751491E-3</v>
      </c>
      <c r="AP170">
        <v>-1.9290176321230153E-3</v>
      </c>
      <c r="AQ170">
        <v>-1.7582928203102339E-3</v>
      </c>
      <c r="AR170">
        <v>-2.5631516717472269E-3</v>
      </c>
      <c r="AS170">
        <v>-1.4088454929376631E-2</v>
      </c>
      <c r="AT170">
        <v>8.6507849089276535E-3</v>
      </c>
      <c r="AU170">
        <v>3.4487931701283698</v>
      </c>
      <c r="AV170" s="5">
        <v>86.779776260000006</v>
      </c>
      <c r="AW170" s="6">
        <v>121.66666666666667</v>
      </c>
      <c r="AX170" s="6">
        <f t="shared" si="8"/>
        <v>4.8012850649143815</v>
      </c>
      <c r="AY170" s="5">
        <f t="shared" si="10"/>
        <v>4.5185767734992055</v>
      </c>
      <c r="AZ170" s="5">
        <f t="shared" si="9"/>
        <v>4.0214231885007941</v>
      </c>
      <c r="BA170" s="5">
        <f>$C170-AY171</f>
        <v>2.125947596778321</v>
      </c>
      <c r="BB170">
        <v>0.99002699999999999</v>
      </c>
      <c r="BC170">
        <v>1.0545519605696203E-3</v>
      </c>
      <c r="BD170">
        <v>10.643333439999999</v>
      </c>
      <c r="BE170" s="5">
        <f>BD170-AY170</f>
        <v>6.1247566665007938</v>
      </c>
      <c r="BF170" s="5">
        <f>BD170-AY171</f>
        <v>4.2292810747783207</v>
      </c>
    </row>
    <row r="171" spans="1:58" x14ac:dyDescent="0.25">
      <c r="A171" t="s">
        <v>181</v>
      </c>
      <c r="B171">
        <v>0</v>
      </c>
      <c r="C171">
        <v>8.4099998469999999</v>
      </c>
      <c r="D171">
        <v>0</v>
      </c>
      <c r="E171">
        <v>0.36000001399999998</v>
      </c>
      <c r="F171">
        <v>4.3316408231360279</v>
      </c>
      <c r="G171">
        <v>4.1308532678719088</v>
      </c>
      <c r="H171">
        <v>4.1333791191070715</v>
      </c>
      <c r="I171">
        <v>3.8566582760915598</v>
      </c>
      <c r="J171">
        <v>5.38632824387075</v>
      </c>
      <c r="K171">
        <v>-8.2076873980074808E-2</v>
      </c>
      <c r="L171">
        <v>170</v>
      </c>
      <c r="M171">
        <v>28900</v>
      </c>
      <c r="N171">
        <v>0</v>
      </c>
      <c r="O171" s="4">
        <v>4.1678583102405788</v>
      </c>
      <c r="P171" s="4">
        <v>4.1231911367796803</v>
      </c>
      <c r="Q171" s="4">
        <v>3.6506842149823933</v>
      </c>
      <c r="R171">
        <v>2.1834808691540419E-2</v>
      </c>
      <c r="S171" s="5">
        <v>1.2929999999999999</v>
      </c>
      <c r="T171" s="5">
        <v>2.718</v>
      </c>
      <c r="U171">
        <f t="shared" si="11"/>
        <v>1.2929999999999999E-2</v>
      </c>
      <c r="V171">
        <f t="shared" si="12"/>
        <v>2.7179999999999999E-2</v>
      </c>
      <c r="W171" s="1">
        <v>8676839087703750</v>
      </c>
      <c r="X171" s="2">
        <v>7.3104939980000001</v>
      </c>
      <c r="Y171" s="2">
        <v>7.4483322750000003</v>
      </c>
      <c r="Z171" s="2">
        <v>9.0775744009999997</v>
      </c>
      <c r="AA171" s="2">
        <v>-3.9657590680000001</v>
      </c>
      <c r="AB171">
        <v>2.9382317277682002E-3</v>
      </c>
      <c r="AC171">
        <v>1.66213074620545E-4</v>
      </c>
      <c r="AD171">
        <v>7.3798014866737467E-5</v>
      </c>
      <c r="AE171">
        <v>5.56840973411586E-3</v>
      </c>
      <c r="AF171">
        <v>2.0875453830681849E-3</v>
      </c>
      <c r="AG171">
        <v>3.1044448023887453E-3</v>
      </c>
      <c r="AH171">
        <v>3.1782428172554829E-3</v>
      </c>
      <c r="AI171">
        <v>8.7466525513713433E-3</v>
      </c>
      <c r="AJ171">
        <v>1.0834197934439528E-2</v>
      </c>
      <c r="AK171">
        <v>2.4001108948728248E-4</v>
      </c>
      <c r="AL171">
        <v>5.8084208236031422E-3</v>
      </c>
      <c r="AM171">
        <v>7.8959662066713267E-3</v>
      </c>
      <c r="AN171">
        <v>5.6422077489825971E-3</v>
      </c>
      <c r="AO171">
        <v>7.7297531320507824E-3</v>
      </c>
      <c r="AP171">
        <v>7.6559551171840445E-3</v>
      </c>
      <c r="AQ171">
        <v>-4.8068292704605648E-3</v>
      </c>
      <c r="AR171">
        <v>6.9778574811782913E-3</v>
      </c>
      <c r="AS171">
        <v>-1.8895284199837197E-2</v>
      </c>
      <c r="AT171">
        <v>1.5628642390105946E-2</v>
      </c>
      <c r="AU171">
        <v>3.4999085609451099</v>
      </c>
      <c r="AV171" s="5">
        <v>87.634780090000007</v>
      </c>
      <c r="AW171" s="6">
        <v>123.63333333333334</v>
      </c>
      <c r="AX171" s="6">
        <f t="shared" si="8"/>
        <v>4.8173201958274356</v>
      </c>
      <c r="AY171" s="5">
        <f t="shared" si="10"/>
        <v>6.4140523652216785</v>
      </c>
      <c r="AZ171" s="5">
        <f t="shared" si="9"/>
        <v>1.9959474817783214</v>
      </c>
      <c r="BA171" s="5">
        <f>$C171-AY172</f>
        <v>5.2946356366332221</v>
      </c>
      <c r="BB171">
        <v>0.93360699999999996</v>
      </c>
      <c r="BC171">
        <v>-7.9859481999158596E-3</v>
      </c>
      <c r="BD171">
        <v>10.36666679</v>
      </c>
      <c r="BE171" s="5">
        <f>BD171-AY171</f>
        <v>3.9526144247783215</v>
      </c>
      <c r="BF171" s="5">
        <f>BD171-AY172</f>
        <v>7.2513025796332222</v>
      </c>
    </row>
    <row r="172" spans="1:58" x14ac:dyDescent="0.25">
      <c r="A172" t="s">
        <v>182</v>
      </c>
      <c r="B172">
        <v>0</v>
      </c>
      <c r="C172">
        <v>7.8433332440000001</v>
      </c>
      <c r="D172">
        <v>0</v>
      </c>
      <c r="E172">
        <v>0.36000001399999998</v>
      </c>
      <c r="F172">
        <v>4.3410223318698149</v>
      </c>
      <c r="G172">
        <v>4.1387600922524861</v>
      </c>
      <c r="H172">
        <v>4.1418005671141689</v>
      </c>
      <c r="I172">
        <v>3.8739056833150181</v>
      </c>
      <c r="J172">
        <v>5.3874585572068323</v>
      </c>
      <c r="K172">
        <v>-8.0144055234223507E-2</v>
      </c>
      <c r="L172">
        <v>171</v>
      </c>
      <c r="M172">
        <v>29241</v>
      </c>
      <c r="N172">
        <v>0</v>
      </c>
      <c r="O172" s="4">
        <v>4.177842831022792</v>
      </c>
      <c r="P172" s="4">
        <v>4.1309014741949808</v>
      </c>
      <c r="Q172" s="4">
        <v>3.6730295046838703</v>
      </c>
      <c r="R172">
        <v>9.4133821463121131E-3</v>
      </c>
      <c r="S172" s="5">
        <v>1.4930000000000001</v>
      </c>
      <c r="T172" s="5">
        <v>-3.6960000000000002</v>
      </c>
      <c r="U172">
        <f t="shared" si="11"/>
        <v>1.4930000000000001E-2</v>
      </c>
      <c r="V172">
        <f t="shared" si="12"/>
        <v>-3.696E-2</v>
      </c>
      <c r="W172" s="1">
        <v>8686473580638680</v>
      </c>
      <c r="X172" s="2">
        <v>7.3192621430000004</v>
      </c>
      <c r="Y172" s="2">
        <v>7.4459894789999996</v>
      </c>
      <c r="Z172" s="2">
        <v>9.0850152160000004</v>
      </c>
      <c r="AA172" s="2">
        <v>-4.7141814249999996</v>
      </c>
      <c r="AB172">
        <v>-2.1290041704381162E-3</v>
      </c>
      <c r="AC172">
        <v>3.6968843298683849E-3</v>
      </c>
      <c r="AD172">
        <v>5.1534984766818197E-4</v>
      </c>
      <c r="AE172">
        <v>2.0172917503905353E-3</v>
      </c>
      <c r="AF172">
        <v>2.1568776785032824E-3</v>
      </c>
      <c r="AG172">
        <v>1.5678801594302687E-3</v>
      </c>
      <c r="AH172">
        <v>2.0832300070984505E-3</v>
      </c>
      <c r="AI172">
        <v>4.1005217574889858E-3</v>
      </c>
      <c r="AJ172">
        <v>6.2573994359922686E-3</v>
      </c>
      <c r="AK172">
        <v>4.2122341775365666E-3</v>
      </c>
      <c r="AL172">
        <v>6.229525927927102E-3</v>
      </c>
      <c r="AM172">
        <v>8.3864036064303839E-3</v>
      </c>
      <c r="AN172">
        <v>2.5326415980587175E-3</v>
      </c>
      <c r="AO172">
        <v>4.6895192765620004E-3</v>
      </c>
      <c r="AP172">
        <v>4.1741694288938182E-3</v>
      </c>
      <c r="AQ172">
        <v>-1.4299735714460304E-3</v>
      </c>
      <c r="AR172">
        <v>-1.5002272041236804E-3</v>
      </c>
      <c r="AS172">
        <v>-2.0325257771283228E-2</v>
      </c>
      <c r="AT172">
        <v>1.4128415185982266E-2</v>
      </c>
      <c r="AU172">
        <v>3.50298216315355</v>
      </c>
      <c r="AV172" s="5">
        <v>88.208848149999994</v>
      </c>
      <c r="AW172" s="6">
        <v>124.6</v>
      </c>
      <c r="AX172" s="6">
        <f t="shared" si="8"/>
        <v>4.8251086063533526</v>
      </c>
      <c r="AY172" s="5">
        <f t="shared" si="10"/>
        <v>3.1153642103667778</v>
      </c>
      <c r="AZ172" s="5">
        <f t="shared" si="9"/>
        <v>4.7279690336332223</v>
      </c>
      <c r="BA172" s="5">
        <f>$C172-AY173</f>
        <v>3.7975175440465634</v>
      </c>
      <c r="BB172">
        <v>0.89754500000000004</v>
      </c>
      <c r="BC172">
        <v>-6.0123606651633129E-4</v>
      </c>
      <c r="BD172">
        <v>9.8866662979999997</v>
      </c>
      <c r="BE172" s="5">
        <f>BD172-AY172</f>
        <v>6.7713020876332219</v>
      </c>
      <c r="BF172" s="5">
        <f>BD172-AY173</f>
        <v>5.840850598046563</v>
      </c>
    </row>
    <row r="173" spans="1:58" x14ac:dyDescent="0.25">
      <c r="A173" t="s">
        <v>183</v>
      </c>
      <c r="B173">
        <v>0</v>
      </c>
      <c r="C173">
        <v>7.6533331870000003</v>
      </c>
      <c r="D173">
        <v>0</v>
      </c>
      <c r="E173">
        <v>0.36000001399999998</v>
      </c>
      <c r="F173">
        <v>4.346321733803105</v>
      </c>
      <c r="G173">
        <v>4.1409418475988833</v>
      </c>
      <c r="H173">
        <v>4.1523691244583159</v>
      </c>
      <c r="I173">
        <v>3.8572922307216415</v>
      </c>
      <c r="J173">
        <v>5.3925405921953038</v>
      </c>
      <c r="K173">
        <v>-7.2500454235445377E-2</v>
      </c>
      <c r="L173">
        <v>172</v>
      </c>
      <c r="M173">
        <v>29584</v>
      </c>
      <c r="N173">
        <v>-9.1742124383234841E-2</v>
      </c>
      <c r="O173" s="4">
        <v>4.1891091386665238</v>
      </c>
      <c r="P173" s="4">
        <v>4.1411645328659912</v>
      </c>
      <c r="Q173" s="4">
        <v>3.6421808511046962</v>
      </c>
      <c r="R173">
        <v>-8.7309750961211061E-3</v>
      </c>
      <c r="S173" s="5">
        <v>2.1749999999999998</v>
      </c>
      <c r="T173" s="5">
        <v>-0.92700000000000005</v>
      </c>
      <c r="U173">
        <f t="shared" si="11"/>
        <v>2.1749999999999999E-2</v>
      </c>
      <c r="V173">
        <f t="shared" si="12"/>
        <v>-9.2700000000000005E-3</v>
      </c>
      <c r="W173" s="1">
        <v>8690810307580040</v>
      </c>
      <c r="X173" s="2">
        <v>7.3253363260000004</v>
      </c>
      <c r="Y173" s="2">
        <v>7.438776861</v>
      </c>
      <c r="Z173" s="2">
        <v>9.0871213379999993</v>
      </c>
      <c r="AA173" s="2">
        <v>-3.653449642</v>
      </c>
      <c r="AB173">
        <v>8.2026267019517114E-3</v>
      </c>
      <c r="AC173">
        <v>-7.9392383506760849E-3</v>
      </c>
      <c r="AD173">
        <v>-1.9361090268665516E-3</v>
      </c>
      <c r="AE173">
        <v>-3.8835000263975216E-3</v>
      </c>
      <c r="AF173">
        <v>3.0951750686434771E-3</v>
      </c>
      <c r="AG173">
        <v>2.6338835127562646E-4</v>
      </c>
      <c r="AH173">
        <v>-1.6727206755909252E-3</v>
      </c>
      <c r="AI173">
        <v>-5.5562207019884471E-3</v>
      </c>
      <c r="AJ173">
        <v>-2.46104563334497E-3</v>
      </c>
      <c r="AK173">
        <v>-9.8753473775426356E-3</v>
      </c>
      <c r="AL173">
        <v>-1.3758847403940157E-2</v>
      </c>
      <c r="AM173">
        <v>-1.066367233529668E-2</v>
      </c>
      <c r="AN173">
        <v>-5.8196090532640736E-3</v>
      </c>
      <c r="AO173">
        <v>-2.7244339846205965E-3</v>
      </c>
      <c r="AP173">
        <v>-7.8832495775404444E-4</v>
      </c>
      <c r="AQ173">
        <v>-1.2407988975601353E-2</v>
      </c>
      <c r="AR173">
        <v>-1.8448366680502155E-2</v>
      </c>
      <c r="AS173">
        <v>-3.2733246746884583E-2</v>
      </c>
      <c r="AT173">
        <v>-4.3199514945198893E-3</v>
      </c>
      <c r="AU173">
        <v>3.5435493828081799</v>
      </c>
      <c r="AV173" s="5">
        <v>88.792911459999999</v>
      </c>
      <c r="AW173" s="6">
        <v>125.86666666666666</v>
      </c>
      <c r="AX173" s="6">
        <f t="shared" si="8"/>
        <v>4.8352231456032362</v>
      </c>
      <c r="AY173" s="5">
        <f t="shared" si="10"/>
        <v>4.0458156999534367</v>
      </c>
      <c r="AZ173" s="5">
        <f t="shared" si="9"/>
        <v>3.6075174870465636</v>
      </c>
      <c r="BA173" s="5">
        <f>$C173-AY174</f>
        <v>0.82633275479479007</v>
      </c>
      <c r="BB173">
        <v>0.76544800000000002</v>
      </c>
      <c r="BC173">
        <v>1.5298095929503965E-3</v>
      </c>
      <c r="BD173">
        <v>9.8133335109999997</v>
      </c>
      <c r="BE173" s="5">
        <f>BD173-AY173</f>
        <v>5.767517811046563</v>
      </c>
      <c r="BF173" s="5">
        <f>BD173-AY174</f>
        <v>2.9863330787947895</v>
      </c>
    </row>
    <row r="174" spans="1:58" x14ac:dyDescent="0.25">
      <c r="A174" t="s">
        <v>184</v>
      </c>
      <c r="B174">
        <v>0</v>
      </c>
      <c r="C174">
        <v>7.7599997519999997</v>
      </c>
      <c r="D174">
        <v>10.3</v>
      </c>
      <c r="E174">
        <v>0.36199998900000002</v>
      </c>
      <c r="F174">
        <v>4.3616325825204942</v>
      </c>
      <c r="G174">
        <v>4.1513233302970853</v>
      </c>
      <c r="H174">
        <v>4.1550622523349983</v>
      </c>
      <c r="I174">
        <v>3.8696581546503763</v>
      </c>
      <c r="J174">
        <v>5.3932320135941376</v>
      </c>
      <c r="K174">
        <v>-6.3258712081013038E-2</v>
      </c>
      <c r="L174">
        <v>173</v>
      </c>
      <c r="M174">
        <v>29929</v>
      </c>
      <c r="N174">
        <v>0</v>
      </c>
      <c r="O174" s="4">
        <v>4.1878197260806962</v>
      </c>
      <c r="P174" s="4">
        <v>4.1455128487964998</v>
      </c>
      <c r="Q174" s="4">
        <v>3.6835402257683314</v>
      </c>
      <c r="R174">
        <v>2.2834008469282602E-2</v>
      </c>
      <c r="S174" s="5">
        <v>0.08</v>
      </c>
      <c r="T174" s="5">
        <v>2.8140000000000001</v>
      </c>
      <c r="U174">
        <f t="shared" si="11"/>
        <v>8.0000000000000004E-4</v>
      </c>
      <c r="V174">
        <f t="shared" si="12"/>
        <v>2.8140000000000002E-2</v>
      </c>
      <c r="W174" s="1">
        <v>8699191029152160</v>
      </c>
      <c r="X174" s="2">
        <v>7.3450108070000004</v>
      </c>
      <c r="Y174" s="2">
        <v>7.4354456730000003</v>
      </c>
      <c r="Z174" s="2">
        <v>9.0980111870000009</v>
      </c>
      <c r="AA174" s="2">
        <v>-3.879998777</v>
      </c>
      <c r="AB174">
        <v>9.9008560337074175E-4</v>
      </c>
      <c r="AC174">
        <v>-1.8663217996802649E-3</v>
      </c>
      <c r="AD174">
        <v>-1.9620271044635124E-3</v>
      </c>
      <c r="AE174">
        <v>-1.5494123961659373E-3</v>
      </c>
      <c r="AF174">
        <v>-5.9886905379903672E-3</v>
      </c>
      <c r="AG174">
        <v>-8.7623619630952318E-4</v>
      </c>
      <c r="AH174">
        <v>-2.8382633007730355E-3</v>
      </c>
      <c r="AI174">
        <v>-4.3876756969389724E-3</v>
      </c>
      <c r="AJ174">
        <v>-1.037636623492934E-2</v>
      </c>
      <c r="AK174">
        <v>-3.8283489041437773E-3</v>
      </c>
      <c r="AL174">
        <v>-5.3777613003097146E-3</v>
      </c>
      <c r="AM174">
        <v>-1.1366451838300082E-2</v>
      </c>
      <c r="AN174">
        <v>-3.5114395006294497E-3</v>
      </c>
      <c r="AO174">
        <v>-9.5001300386198164E-3</v>
      </c>
      <c r="AP174">
        <v>-7.538102934156304E-3</v>
      </c>
      <c r="AQ174">
        <v>1.9912601491202963E-3</v>
      </c>
      <c r="AR174">
        <v>-2.6533273156891181E-3</v>
      </c>
      <c r="AS174">
        <v>-3.0741986597764285E-2</v>
      </c>
      <c r="AT174">
        <v>-6.9732788102090069E-3</v>
      </c>
      <c r="AU174">
        <v>3.5367664243774501</v>
      </c>
      <c r="AV174" s="5">
        <v>89.865864790000003</v>
      </c>
      <c r="AW174" s="6">
        <v>128.03333333333333</v>
      </c>
      <c r="AX174" s="6">
        <f t="shared" si="8"/>
        <v>4.8522906466837492</v>
      </c>
      <c r="AY174" s="5">
        <f t="shared" si="10"/>
        <v>6.8270004322052102</v>
      </c>
      <c r="AZ174" s="5">
        <f t="shared" si="9"/>
        <v>0.93299931979478945</v>
      </c>
      <c r="BA174" s="5">
        <f>$C174-AY175</f>
        <v>3.8221441143750789</v>
      </c>
      <c r="BB174">
        <v>0.76738300000000004</v>
      </c>
      <c r="BC174">
        <v>2.6608940970021667E-3</v>
      </c>
      <c r="BD174">
        <v>10.096666340000001</v>
      </c>
      <c r="BE174" s="5">
        <f>BD174-AY174</f>
        <v>3.2696659077947903</v>
      </c>
      <c r="BF174" s="5">
        <f>BD174-AY175</f>
        <v>6.1588107023750798</v>
      </c>
    </row>
    <row r="175" spans="1:58" x14ac:dyDescent="0.25">
      <c r="A175" t="s">
        <v>185</v>
      </c>
      <c r="B175">
        <v>0</v>
      </c>
      <c r="C175">
        <v>7.7466664310000004</v>
      </c>
      <c r="D175">
        <v>0</v>
      </c>
      <c r="E175">
        <v>0.36199998900000002</v>
      </c>
      <c r="F175">
        <v>4.3631113635607273</v>
      </c>
      <c r="G175">
        <v>4.1552985415590982</v>
      </c>
      <c r="H175">
        <v>4.1640910686992942</v>
      </c>
      <c r="I175">
        <v>3.8462677443626792</v>
      </c>
      <c r="J175">
        <v>5.3878060890483619</v>
      </c>
      <c r="K175">
        <v>-5.1711198471309387E-2</v>
      </c>
      <c r="L175">
        <v>174</v>
      </c>
      <c r="M175">
        <v>30276</v>
      </c>
      <c r="N175">
        <v>0</v>
      </c>
      <c r="O175" s="4">
        <v>4.1889120420506405</v>
      </c>
      <c r="P175" s="4">
        <v>4.1578982235444153</v>
      </c>
      <c r="Q175" s="4">
        <v>3.6499307039753615</v>
      </c>
      <c r="R175">
        <v>3.0592496925863394E-3</v>
      </c>
      <c r="S175" s="5">
        <v>0.83</v>
      </c>
      <c r="T175" s="5">
        <v>5.3479999999999999</v>
      </c>
      <c r="U175">
        <f t="shared" si="11"/>
        <v>8.3000000000000001E-3</v>
      </c>
      <c r="V175">
        <f t="shared" si="12"/>
        <v>5.348E-2</v>
      </c>
      <c r="W175" s="1">
        <v>8702232551634360</v>
      </c>
      <c r="X175" s="2">
        <v>7.3459365759999997</v>
      </c>
      <c r="Y175" s="2">
        <v>7.4329237309999998</v>
      </c>
      <c r="Z175" s="2">
        <v>9.1018750409999996</v>
      </c>
      <c r="AA175" s="2">
        <v>-3.6739475540000002</v>
      </c>
      <c r="AB175">
        <v>-3.1508010750935229E-3</v>
      </c>
      <c r="AC175">
        <v>1.3940844803364153E-3</v>
      </c>
      <c r="AD175">
        <v>3.6757603597894692E-3</v>
      </c>
      <c r="AE175">
        <v>-5.7679157522780335E-3</v>
      </c>
      <c r="AF175">
        <v>-4.653521475436284E-4</v>
      </c>
      <c r="AG175">
        <v>-1.7567165947571077E-3</v>
      </c>
      <c r="AH175">
        <v>1.9190437650323615E-3</v>
      </c>
      <c r="AI175">
        <v>-3.8488719872456717E-3</v>
      </c>
      <c r="AJ175">
        <v>-4.3142241347892997E-3</v>
      </c>
      <c r="AK175">
        <v>5.0698448401258842E-3</v>
      </c>
      <c r="AL175">
        <v>-6.9807091215214924E-4</v>
      </c>
      <c r="AM175">
        <v>-1.1634230596957776E-3</v>
      </c>
      <c r="AN175">
        <v>-2.0921553924885643E-3</v>
      </c>
      <c r="AO175">
        <v>-2.5575075400321927E-3</v>
      </c>
      <c r="AP175">
        <v>-6.2332678998216623E-3</v>
      </c>
      <c r="AQ175">
        <v>8.5812843407553335E-3</v>
      </c>
      <c r="AR175">
        <v>8.8020591264676672E-3</v>
      </c>
      <c r="AS175">
        <v>-2.2160702257008953E-2</v>
      </c>
      <c r="AT175">
        <v>1.8287803162586602E-3</v>
      </c>
      <c r="AU175">
        <v>3.5627882807278399</v>
      </c>
      <c r="AV175" s="5">
        <v>90.909661130000003</v>
      </c>
      <c r="AW175" s="6">
        <v>129.30000000000001</v>
      </c>
      <c r="AX175" s="6">
        <f t="shared" si="8"/>
        <v>4.8621352857778115</v>
      </c>
      <c r="AY175" s="5">
        <f t="shared" si="10"/>
        <v>3.9378556376249207</v>
      </c>
      <c r="AZ175" s="5">
        <f t="shared" si="9"/>
        <v>3.8088107933750797</v>
      </c>
      <c r="BA175" s="5">
        <f>$C175-AY176</f>
        <v>0.89665877396266236</v>
      </c>
      <c r="BB175">
        <v>0.67930599999999997</v>
      </c>
      <c r="BC175">
        <v>-5.5184602747109165E-3</v>
      </c>
      <c r="BD175">
        <v>10.31000042</v>
      </c>
      <c r="BE175" s="5">
        <f>BD175-AY175</f>
        <v>6.372144782375079</v>
      </c>
      <c r="BF175" s="5">
        <f>BD175-AY176</f>
        <v>3.4599927629626617</v>
      </c>
    </row>
    <row r="176" spans="1:58" x14ac:dyDescent="0.25">
      <c r="A176" t="s">
        <v>186</v>
      </c>
      <c r="B176">
        <v>0</v>
      </c>
      <c r="C176">
        <v>7.4766664509999998</v>
      </c>
      <c r="D176">
        <v>0</v>
      </c>
      <c r="E176">
        <v>0.36199998900000002</v>
      </c>
      <c r="F176">
        <v>4.3628183307325834</v>
      </c>
      <c r="G176">
        <v>4.1552828603271807</v>
      </c>
      <c r="H176">
        <v>4.1699329326643886</v>
      </c>
      <c r="I176">
        <v>3.8354011067767035</v>
      </c>
      <c r="J176">
        <v>5.3877649402657886</v>
      </c>
      <c r="K176">
        <v>-4.3869218320976344E-2</v>
      </c>
      <c r="L176">
        <v>175</v>
      </c>
      <c r="M176">
        <v>30625</v>
      </c>
      <c r="N176">
        <v>0</v>
      </c>
      <c r="O176" s="4">
        <v>4.1905331439972162</v>
      </c>
      <c r="P176" s="4">
        <v>4.1655638423099424</v>
      </c>
      <c r="Q176" s="4">
        <v>3.6397417295523882</v>
      </c>
      <c r="R176">
        <v>-1.0360096267704033E-2</v>
      </c>
      <c r="S176" s="5">
        <v>2.1339999999999999</v>
      </c>
      <c r="T176" s="5">
        <v>-0.86</v>
      </c>
      <c r="U176">
        <f t="shared" si="11"/>
        <v>2.1339999999999998E-2</v>
      </c>
      <c r="V176">
        <f t="shared" si="12"/>
        <v>-8.6E-3</v>
      </c>
      <c r="W176" s="1">
        <v>8706186277319690</v>
      </c>
      <c r="X176" s="2">
        <v>7.3455462960000002</v>
      </c>
      <c r="Y176" s="2">
        <v>7.4385043460000002</v>
      </c>
      <c r="Z176" s="2">
        <v>9.1021202159999994</v>
      </c>
      <c r="AA176" s="2">
        <v>-3.121606318</v>
      </c>
      <c r="AB176">
        <v>-1.1240854991952929E-2</v>
      </c>
      <c r="AC176">
        <v>1.2177423672949167E-3</v>
      </c>
      <c r="AD176">
        <v>-7.4648597818974408E-3</v>
      </c>
      <c r="AE176">
        <v>5.9015801127593084E-4</v>
      </c>
      <c r="AF176">
        <v>-4.5846386077360666E-3</v>
      </c>
      <c r="AG176">
        <v>-1.0023112624658014E-2</v>
      </c>
      <c r="AH176">
        <v>-1.7487972406555453E-2</v>
      </c>
      <c r="AI176">
        <v>-1.6897814395279522E-2</v>
      </c>
      <c r="AJ176">
        <v>-2.1482453003015586E-2</v>
      </c>
      <c r="AK176">
        <v>-6.2471174146025241E-3</v>
      </c>
      <c r="AL176">
        <v>-5.6569594033265931E-3</v>
      </c>
      <c r="AM176">
        <v>-1.0241598011062659E-2</v>
      </c>
      <c r="AN176">
        <v>-6.8747017706215097E-3</v>
      </c>
      <c r="AO176">
        <v>-1.1459340378357576E-2</v>
      </c>
      <c r="AP176">
        <v>-3.9944805964601355E-3</v>
      </c>
      <c r="AQ176">
        <v>-4.1549620221139599E-3</v>
      </c>
      <c r="AR176">
        <v>-3.0994518632944004E-3</v>
      </c>
      <c r="AS176">
        <v>-2.6315664279122915E-2</v>
      </c>
      <c r="AT176">
        <v>-1.2706715470357402E-3</v>
      </c>
      <c r="AU176">
        <v>3.57184525185124</v>
      </c>
      <c r="AV176" s="5">
        <v>91.745334799999995</v>
      </c>
      <c r="AW176" s="6">
        <v>131.53333333333333</v>
      </c>
      <c r="AX176" s="6">
        <f t="shared" si="8"/>
        <v>4.8792603049204049</v>
      </c>
      <c r="AY176" s="5">
        <f t="shared" si="10"/>
        <v>6.850007657037338</v>
      </c>
      <c r="AZ176" s="5">
        <f t="shared" si="9"/>
        <v>0.62665879396266178</v>
      </c>
      <c r="BA176" s="5">
        <f>$C176-AY177</f>
        <v>0.74199297725729707</v>
      </c>
      <c r="BB176">
        <v>0.71855999999999998</v>
      </c>
      <c r="BC176">
        <v>4.028877120789301E-4</v>
      </c>
      <c r="BD176">
        <v>10.41666698</v>
      </c>
      <c r="BE176" s="5">
        <f>BD176-AY176</f>
        <v>3.5666593229626624</v>
      </c>
      <c r="BF176" s="5">
        <f>BD176-AY177</f>
        <v>3.6819935062572977</v>
      </c>
    </row>
    <row r="177" spans="1:58" x14ac:dyDescent="0.25">
      <c r="A177" t="s">
        <v>187</v>
      </c>
      <c r="B177">
        <v>0</v>
      </c>
      <c r="C177">
        <v>6.9899997709999999</v>
      </c>
      <c r="D177">
        <v>0</v>
      </c>
      <c r="E177">
        <v>0.36199998900000002</v>
      </c>
      <c r="F177">
        <v>4.3726957369324051</v>
      </c>
      <c r="G177">
        <v>4.1464783366406692</v>
      </c>
      <c r="H177">
        <v>4.1650163856800662</v>
      </c>
      <c r="I177">
        <v>3.8065069221147438</v>
      </c>
      <c r="J177">
        <v>5.3850637084189623</v>
      </c>
      <c r="K177">
        <v>-4.3528536863480564E-2</v>
      </c>
      <c r="L177">
        <v>176</v>
      </c>
      <c r="M177">
        <v>30976</v>
      </c>
      <c r="N177">
        <v>1.9160427990291592E-2</v>
      </c>
      <c r="O177" s="4">
        <v>4.180445802941116</v>
      </c>
      <c r="P177" s="4">
        <v>4.1628128516955201</v>
      </c>
      <c r="Q177" s="4">
        <v>3.6118094070368763</v>
      </c>
      <c r="R177">
        <v>7.5293222637684894E-3</v>
      </c>
      <c r="S177" s="5">
        <v>1.242</v>
      </c>
      <c r="T177" s="5">
        <v>3.6080000000000001</v>
      </c>
      <c r="U177">
        <f t="shared" si="11"/>
        <v>1.242E-2</v>
      </c>
      <c r="V177">
        <f t="shared" si="12"/>
        <v>3.6080000000000001E-2</v>
      </c>
      <c r="W177" s="1">
        <v>8698549615953180</v>
      </c>
      <c r="X177" s="2">
        <v>7.364090118</v>
      </c>
      <c r="Y177" s="2">
        <v>7.4313217979999999</v>
      </c>
      <c r="Z177" s="2">
        <v>9.093559334</v>
      </c>
      <c r="AA177" s="2">
        <v>-0.36753005300000002</v>
      </c>
      <c r="AB177">
        <v>3.966480264652494E-3</v>
      </c>
      <c r="AC177">
        <v>-4.4105506744551879E-3</v>
      </c>
      <c r="AD177">
        <v>-5.1564947191304533E-3</v>
      </c>
      <c r="AE177">
        <v>-4.0359130266581517E-3</v>
      </c>
      <c r="AF177">
        <v>-5.6129800162193298E-3</v>
      </c>
      <c r="AG177">
        <v>-4.4407040980269392E-4</v>
      </c>
      <c r="AH177">
        <v>-5.6005651289331472E-3</v>
      </c>
      <c r="AI177">
        <v>-9.6364781555912989E-3</v>
      </c>
      <c r="AJ177">
        <v>-1.5249458171810629E-2</v>
      </c>
      <c r="AK177">
        <v>-9.5670453935856412E-3</v>
      </c>
      <c r="AL177">
        <v>-1.3602958420243793E-2</v>
      </c>
      <c r="AM177">
        <v>-1.9215938436463124E-2</v>
      </c>
      <c r="AN177">
        <v>-9.1924077457886041E-3</v>
      </c>
      <c r="AO177">
        <v>-1.4805387762007934E-2</v>
      </c>
      <c r="AP177">
        <v>-9.6488930428774815E-3</v>
      </c>
      <c r="AQ177">
        <v>-2.6923436229641315E-3</v>
      </c>
      <c r="AR177">
        <v>-2.1436180418862166E-3</v>
      </c>
      <c r="AS177">
        <v>-2.9008007902087046E-2</v>
      </c>
      <c r="AT177">
        <v>-3.4142895889219568E-3</v>
      </c>
      <c r="AU177">
        <v>3.6248176253414601</v>
      </c>
      <c r="AV177" s="5">
        <v>92.483903119999994</v>
      </c>
      <c r="AW177" s="6">
        <v>133.76666666666668</v>
      </c>
      <c r="AX177" s="6">
        <f t="shared" si="8"/>
        <v>4.8960969886047616</v>
      </c>
      <c r="AY177" s="5">
        <f t="shared" si="10"/>
        <v>6.7346734737427028</v>
      </c>
      <c r="AZ177" s="5">
        <f t="shared" si="9"/>
        <v>0.25532629725729716</v>
      </c>
      <c r="BA177" s="5">
        <f>$C177-AY178</f>
        <v>4.010840021458562</v>
      </c>
      <c r="BB177">
        <v>0.74155599999999999</v>
      </c>
      <c r="BC177">
        <v>-5.125730453027005E-4</v>
      </c>
      <c r="BD177">
        <v>10.596666340000001</v>
      </c>
      <c r="BE177" s="5">
        <f>BD177-AY177</f>
        <v>3.8619928662572978</v>
      </c>
      <c r="BF177" s="5">
        <f>BD177-AY178</f>
        <v>7.6175065904585626</v>
      </c>
    </row>
    <row r="178" spans="1:58" x14ac:dyDescent="0.25">
      <c r="A178" t="s">
        <v>188</v>
      </c>
      <c r="B178">
        <v>0</v>
      </c>
      <c r="C178">
        <v>6.0233330729999999</v>
      </c>
      <c r="D178">
        <v>35.200000000000003</v>
      </c>
      <c r="E178">
        <v>0.370999992</v>
      </c>
      <c r="F178">
        <v>4.37675023894848</v>
      </c>
      <c r="G178">
        <v>4.1416256518030945</v>
      </c>
      <c r="H178">
        <v>4.1656189845912825</v>
      </c>
      <c r="I178">
        <v>3.7716568805715043</v>
      </c>
      <c r="J178">
        <v>5.3774565892788644</v>
      </c>
      <c r="K178">
        <v>-4.5143393166603478E-2</v>
      </c>
      <c r="L178">
        <v>177</v>
      </c>
      <c r="M178">
        <v>31329</v>
      </c>
      <c r="N178">
        <v>0</v>
      </c>
      <c r="O178" s="4">
        <v>4.1809197329765109</v>
      </c>
      <c r="P178" s="4">
        <v>4.1634974209104172</v>
      </c>
      <c r="Q178" s="4">
        <v>3.5838799843822962</v>
      </c>
      <c r="R178">
        <v>1.2137564487074447E-2</v>
      </c>
      <c r="S178" s="5">
        <v>0.22</v>
      </c>
      <c r="T178" s="5">
        <v>-2.5070000000000001</v>
      </c>
      <c r="U178">
        <f t="shared" si="11"/>
        <v>2.2000000000000001E-3</v>
      </c>
      <c r="V178">
        <f t="shared" si="12"/>
        <v>-2.5070000000000002E-2</v>
      </c>
      <c r="W178" s="1">
        <v>869478223417688</v>
      </c>
      <c r="X178" s="2">
        <v>7.3668171400000002</v>
      </c>
      <c r="Y178" s="2">
        <v>7.392185778</v>
      </c>
      <c r="Z178" s="2">
        <v>9.0888617660000008</v>
      </c>
      <c r="AA178" s="2">
        <v>0.73147022299999997</v>
      </c>
      <c r="AB178">
        <v>1.4794994514980613E-2</v>
      </c>
      <c r="AC178">
        <v>-7.2514455144878588E-4</v>
      </c>
      <c r="AD178">
        <v>-7.6540065246587692E-3</v>
      </c>
      <c r="AE178">
        <v>-7.6853581890422833E-3</v>
      </c>
      <c r="AF178">
        <v>-1.2408571110173636E-2</v>
      </c>
      <c r="AG178">
        <v>1.4069849963531826E-2</v>
      </c>
      <c r="AH178">
        <v>6.4158434388730569E-3</v>
      </c>
      <c r="AI178">
        <v>-1.2695147501692264E-3</v>
      </c>
      <c r="AJ178">
        <v>-1.3678085860342862E-2</v>
      </c>
      <c r="AK178">
        <v>-8.3791510761075556E-3</v>
      </c>
      <c r="AL178">
        <v>-1.6064509265149837E-2</v>
      </c>
      <c r="AM178">
        <v>-2.8473080375323472E-2</v>
      </c>
      <c r="AN178">
        <v>-1.5339364713701053E-2</v>
      </c>
      <c r="AO178">
        <v>-2.7747935823874689E-2</v>
      </c>
      <c r="AP178">
        <v>-2.0093929299215919E-2</v>
      </c>
      <c r="AQ178">
        <v>8.1325666968104851E-4</v>
      </c>
      <c r="AR178">
        <v>-1.2591215031419033E-3</v>
      </c>
      <c r="AS178">
        <v>-2.8194751232405998E-2</v>
      </c>
      <c r="AT178">
        <v>-4.6734110920638606E-3</v>
      </c>
      <c r="AU178">
        <v>3.6429085484482102</v>
      </c>
      <c r="AV178" s="5">
        <v>93.477466019999994</v>
      </c>
      <c r="AW178" s="6">
        <v>134.76666666666668</v>
      </c>
      <c r="AX178" s="6">
        <f t="shared" si="8"/>
        <v>4.9035448879786152</v>
      </c>
      <c r="AY178" s="5">
        <f t="shared" si="10"/>
        <v>2.9791597495414379</v>
      </c>
      <c r="AZ178" s="5">
        <f t="shared" si="9"/>
        <v>3.044173323458562</v>
      </c>
      <c r="BA178" s="5">
        <f>$C178-AY179</f>
        <v>3.6558785664183766</v>
      </c>
      <c r="BB178">
        <v>0.73328599999999999</v>
      </c>
      <c r="BC178">
        <v>-4.0110767115028659E-3</v>
      </c>
      <c r="BD178">
        <v>10.203332899999999</v>
      </c>
      <c r="BE178" s="5">
        <f>BD178-AY178</f>
        <v>7.2241731504585616</v>
      </c>
      <c r="BF178" s="5">
        <f>BD178-AY179</f>
        <v>7.8358783934183762</v>
      </c>
    </row>
    <row r="179" spans="1:58" x14ac:dyDescent="0.25">
      <c r="A179" t="s">
        <v>189</v>
      </c>
      <c r="B179">
        <v>0</v>
      </c>
      <c r="C179">
        <v>5.5599999430000002</v>
      </c>
      <c r="D179">
        <v>0</v>
      </c>
      <c r="E179">
        <v>0.370999992</v>
      </c>
      <c r="F179">
        <v>4.3802375351894201</v>
      </c>
      <c r="G179">
        <v>4.1483591505283393</v>
      </c>
      <c r="H179">
        <v>4.1735806494340348</v>
      </c>
      <c r="I179">
        <v>3.7701598570650345</v>
      </c>
      <c r="J179">
        <v>5.3728495344323122</v>
      </c>
      <c r="K179">
        <v>-3.2891752307307391E-2</v>
      </c>
      <c r="L179">
        <v>178</v>
      </c>
      <c r="M179">
        <v>31684</v>
      </c>
      <c r="N179">
        <v>0</v>
      </c>
      <c r="O179" s="4">
        <v>4.1867718024680274</v>
      </c>
      <c r="P179" s="4">
        <v>4.17229277026959</v>
      </c>
      <c r="Q179" s="4">
        <v>3.5888933592380092</v>
      </c>
      <c r="R179">
        <v>3.5546064203575258E-3</v>
      </c>
      <c r="S179" s="5">
        <v>0.47899999999999998</v>
      </c>
      <c r="T179" s="5">
        <v>1.61</v>
      </c>
      <c r="U179">
        <f t="shared" si="11"/>
        <v>4.79E-3</v>
      </c>
      <c r="V179">
        <f t="shared" si="12"/>
        <v>1.61E-2</v>
      </c>
      <c r="W179" s="1">
        <v>8703035709012970</v>
      </c>
      <c r="X179" s="2">
        <v>7.366076541</v>
      </c>
      <c r="Y179" s="2">
        <v>7.3770395600000001</v>
      </c>
      <c r="Z179" s="2">
        <v>9.096600402</v>
      </c>
      <c r="AA179" s="2">
        <v>6.8478735999999998E-2</v>
      </c>
      <c r="AB179">
        <v>-7.542193826900386E-4</v>
      </c>
      <c r="AC179">
        <v>-2.8287720442543157E-3</v>
      </c>
      <c r="AD179">
        <v>-4.5045676178440122E-3</v>
      </c>
      <c r="AE179">
        <v>-6.2779346028256269E-3</v>
      </c>
      <c r="AF179">
        <v>-3.4007940229755797E-3</v>
      </c>
      <c r="AG179">
        <v>-3.5829914269443542E-3</v>
      </c>
      <c r="AH179">
        <v>-8.0875590447883668E-3</v>
      </c>
      <c r="AI179">
        <v>-1.4365493647613994E-2</v>
      </c>
      <c r="AJ179">
        <v>-1.7766287670589572E-2</v>
      </c>
      <c r="AK179">
        <v>-7.3333396620983279E-3</v>
      </c>
      <c r="AL179">
        <v>-1.3611274264923954E-2</v>
      </c>
      <c r="AM179">
        <v>-1.7012068287899532E-2</v>
      </c>
      <c r="AN179">
        <v>-1.0782502220669638E-2</v>
      </c>
      <c r="AO179">
        <v>-1.4183296243645218E-2</v>
      </c>
      <c r="AP179">
        <v>-9.678728625801207E-3</v>
      </c>
      <c r="AQ179">
        <v>8.0060250516027255E-3</v>
      </c>
      <c r="AR179">
        <v>1.4136661558950735E-2</v>
      </c>
      <c r="AS179">
        <v>-2.0188726180803272E-2</v>
      </c>
      <c r="AT179">
        <v>9.4632504668868741E-3</v>
      </c>
      <c r="AU179">
        <v>3.6503935648043999</v>
      </c>
      <c r="AV179" s="5">
        <v>94.141796940000006</v>
      </c>
      <c r="AW179" s="6">
        <v>135.56666666666666</v>
      </c>
      <c r="AX179" s="6">
        <f t="shared" si="8"/>
        <v>4.9094635242450693</v>
      </c>
      <c r="AY179" s="5">
        <f t="shared" si="10"/>
        <v>2.3674545065816233</v>
      </c>
      <c r="AZ179" s="5">
        <f t="shared" si="9"/>
        <v>3.192545436418377</v>
      </c>
      <c r="BA179" s="5">
        <f>$C179-AY180</f>
        <v>2.5226307863518604</v>
      </c>
      <c r="BB179">
        <v>0.753772</v>
      </c>
      <c r="BC179">
        <v>-1.0841555045834209E-2</v>
      </c>
      <c r="BD179">
        <v>9.9200000760000009</v>
      </c>
      <c r="BE179" s="5">
        <f>BD179-AY179</f>
        <v>7.5525455694183776</v>
      </c>
      <c r="BF179" s="5">
        <f>BD179-AY180</f>
        <v>6.8826309193518611</v>
      </c>
    </row>
    <row r="180" spans="1:58" x14ac:dyDescent="0.25">
      <c r="A180" t="s">
        <v>190</v>
      </c>
      <c r="B180">
        <v>0</v>
      </c>
      <c r="C180">
        <v>5.376666546</v>
      </c>
      <c r="D180">
        <v>0</v>
      </c>
      <c r="E180">
        <v>0.370999992</v>
      </c>
      <c r="F180">
        <v>4.3754802538038478</v>
      </c>
      <c r="G180">
        <v>4.1525505752864627</v>
      </c>
      <c r="H180">
        <v>4.1758251090938669</v>
      </c>
      <c r="I180">
        <v>3.7734962998338153</v>
      </c>
      <c r="J180">
        <v>5.3736196252575787</v>
      </c>
      <c r="K180">
        <v>-2.9739173330425733E-2</v>
      </c>
      <c r="L180">
        <v>179</v>
      </c>
      <c r="M180">
        <v>32041</v>
      </c>
      <c r="N180">
        <v>0</v>
      </c>
      <c r="O180" s="4">
        <v>4.1884570553890672</v>
      </c>
      <c r="P180" s="4">
        <v>4.1747718113347156</v>
      </c>
      <c r="Q180" s="4">
        <v>3.6041382256588457</v>
      </c>
      <c r="R180">
        <v>-1.5978115798326944E-2</v>
      </c>
      <c r="S180" s="5">
        <v>-9.2999999999999999E-2</v>
      </c>
      <c r="T180" s="5">
        <v>-6.3689999999999998</v>
      </c>
      <c r="U180">
        <f t="shared" si="11"/>
        <v>-9.2999999999999995E-4</v>
      </c>
      <c r="V180">
        <f t="shared" si="12"/>
        <v>-6.3689999999999997E-2</v>
      </c>
      <c r="W180" s="1">
        <v>8708009234356990</v>
      </c>
      <c r="X180" s="2">
        <v>7.3618855590000001</v>
      </c>
      <c r="Y180" s="2">
        <v>7.3796751010000001</v>
      </c>
      <c r="Z180" s="2">
        <v>9.1013845119999992</v>
      </c>
      <c r="AA180" s="2">
        <v>1.1452301389999999</v>
      </c>
      <c r="AB180">
        <v>-1.4246102404070092E-2</v>
      </c>
      <c r="AC180">
        <v>-4.9293016094788698E-3</v>
      </c>
      <c r="AD180">
        <v>-4.6641649271511737E-3</v>
      </c>
      <c r="AE180">
        <v>-1.8566335191243281E-3</v>
      </c>
      <c r="AF180">
        <v>-2.6624406335458749E-3</v>
      </c>
      <c r="AG180">
        <v>-1.9175404013548961E-2</v>
      </c>
      <c r="AH180">
        <v>-2.3839568940700134E-2</v>
      </c>
      <c r="AI180">
        <v>-2.5696202459824461E-2</v>
      </c>
      <c r="AJ180">
        <v>-2.8358643093370335E-2</v>
      </c>
      <c r="AK180">
        <v>-9.5934665366300444E-3</v>
      </c>
      <c r="AL180">
        <v>-1.1450100055754373E-2</v>
      </c>
      <c r="AM180">
        <v>-1.4112540689300249E-2</v>
      </c>
      <c r="AN180">
        <v>-6.5207984462755022E-3</v>
      </c>
      <c r="AO180">
        <v>-9.183239079821378E-3</v>
      </c>
      <c r="AP180">
        <v>-4.5190741526702025E-3</v>
      </c>
      <c r="AQ180">
        <v>1.1890356840395938E-3</v>
      </c>
      <c r="AR180">
        <v>2.7331961878908455E-3</v>
      </c>
      <c r="AS180">
        <v>-1.8999690496763678E-2</v>
      </c>
      <c r="AT180">
        <v>1.219644665477772E-2</v>
      </c>
      <c r="AU180">
        <v>3.6920841648276901</v>
      </c>
      <c r="AV180" s="5">
        <v>94.875463870000004</v>
      </c>
      <c r="AW180" s="6">
        <v>136.6</v>
      </c>
      <c r="AX180" s="6">
        <f t="shared" si="8"/>
        <v>4.9170569471366896</v>
      </c>
      <c r="AY180" s="5">
        <f t="shared" si="10"/>
        <v>3.0373691566481398</v>
      </c>
      <c r="AZ180" s="5">
        <f t="shared" si="9"/>
        <v>2.3392973893518603</v>
      </c>
      <c r="BA180" s="5">
        <f>$C180-AY181</f>
        <v>2.0716659697264577</v>
      </c>
      <c r="BB180">
        <v>0.70595600000000003</v>
      </c>
      <c r="BC180">
        <v>-3.4596505032542368E-4</v>
      </c>
      <c r="BD180">
        <v>9.6833333970000002</v>
      </c>
      <c r="BE180" s="5">
        <f>BD180-AY180</f>
        <v>6.6459642403518604</v>
      </c>
      <c r="BF180" s="5">
        <f>BD180-AY181</f>
        <v>6.3783328207264578</v>
      </c>
    </row>
    <row r="181" spans="1:58" x14ac:dyDescent="0.25">
      <c r="A181" t="s">
        <v>191</v>
      </c>
      <c r="B181">
        <v>0</v>
      </c>
      <c r="C181">
        <v>4.5399999619999996</v>
      </c>
      <c r="D181">
        <v>0</v>
      </c>
      <c r="E181">
        <v>0.370999992</v>
      </c>
      <c r="F181">
        <v>4.3712689780209217</v>
      </c>
      <c r="G181">
        <v>4.1564739336876491</v>
      </c>
      <c r="H181">
        <v>4.1774993012681234</v>
      </c>
      <c r="I181">
        <v>3.7753781997305533</v>
      </c>
      <c r="J181">
        <v>5.3729191453306226</v>
      </c>
      <c r="K181">
        <v>-2.2879569923782477E-2</v>
      </c>
      <c r="L181">
        <v>180</v>
      </c>
      <c r="M181">
        <v>32400</v>
      </c>
      <c r="N181">
        <v>-1.8578981387871455E-2</v>
      </c>
      <c r="O181" s="4">
        <v>4.1798339482375155</v>
      </c>
      <c r="P181" s="4">
        <v>4.1806751519731211</v>
      </c>
      <c r="Q181" s="4">
        <v>3.5877046107394626</v>
      </c>
      <c r="R181">
        <v>-1.4910388036984414E-2</v>
      </c>
      <c r="S181" s="5">
        <v>-0.35699999999999998</v>
      </c>
      <c r="T181" s="5">
        <v>-5.5739999999999998</v>
      </c>
      <c r="U181">
        <f t="shared" si="11"/>
        <v>-3.5699999999999998E-3</v>
      </c>
      <c r="V181">
        <f t="shared" si="12"/>
        <v>-5.5739999999999998E-2</v>
      </c>
      <c r="W181" s="1">
        <v>8707508711177510</v>
      </c>
      <c r="X181" s="2">
        <v>7.3590529729999998</v>
      </c>
      <c r="Y181" s="2">
        <v>7.3675117979999998</v>
      </c>
      <c r="Z181" s="2">
        <v>9.1057351270000009</v>
      </c>
      <c r="AA181" s="2">
        <v>2.6256132860000001</v>
      </c>
      <c r="AB181">
        <v>7.6584516336727362E-4</v>
      </c>
      <c r="AC181">
        <v>-2.0706867092738172E-3</v>
      </c>
      <c r="AD181">
        <v>-5.5407190280796015E-3</v>
      </c>
      <c r="AE181">
        <v>-1.4209070827447805E-3</v>
      </c>
      <c r="AF181">
        <v>-5.6702813948174462E-3</v>
      </c>
      <c r="AG181">
        <v>-1.3048415459065437E-3</v>
      </c>
      <c r="AH181">
        <v>-6.8455605739861456E-3</v>
      </c>
      <c r="AI181">
        <v>-8.2664676567309262E-3</v>
      </c>
      <c r="AJ181">
        <v>-1.3936749051548371E-2</v>
      </c>
      <c r="AK181">
        <v>-7.6114057373534187E-3</v>
      </c>
      <c r="AL181">
        <v>-9.0323128200981984E-3</v>
      </c>
      <c r="AM181">
        <v>-1.4702594214915644E-2</v>
      </c>
      <c r="AN181">
        <v>-6.9616261108243821E-3</v>
      </c>
      <c r="AO181">
        <v>-1.2631907505641828E-2</v>
      </c>
      <c r="AP181">
        <v>-7.0911884775622267E-3</v>
      </c>
      <c r="AQ181">
        <v>-1.0906072910779165E-3</v>
      </c>
      <c r="AR181">
        <v>1.5092625972317961E-4</v>
      </c>
      <c r="AS181">
        <v>-2.0090297787841594E-2</v>
      </c>
      <c r="AT181">
        <v>1.2347372914500899E-2</v>
      </c>
      <c r="AU181">
        <v>3.7522226967144898</v>
      </c>
      <c r="AV181" s="5">
        <v>95.424928730000005</v>
      </c>
      <c r="AW181" s="6">
        <v>137.73333333333332</v>
      </c>
      <c r="AX181" s="6">
        <f t="shared" si="8"/>
        <v>4.9253194485773735</v>
      </c>
      <c r="AY181" s="5">
        <f t="shared" si="10"/>
        <v>3.3050005762735424</v>
      </c>
      <c r="AZ181" s="5">
        <f t="shared" si="9"/>
        <v>1.2349993857264572</v>
      </c>
      <c r="BA181" s="5">
        <f>$C181-AY182</f>
        <v>1.8385907556880774</v>
      </c>
      <c r="BB181">
        <v>0.76186299999999996</v>
      </c>
      <c r="BC181">
        <v>1.6216291368909988E-3</v>
      </c>
      <c r="BD181">
        <v>9.3999996190000008</v>
      </c>
      <c r="BE181" s="5">
        <f>BD181-AY181</f>
        <v>6.0949990427264584</v>
      </c>
      <c r="BF181" s="5">
        <f>BD181-AY182</f>
        <v>6.6985904126880786</v>
      </c>
    </row>
    <row r="182" spans="1:58" x14ac:dyDescent="0.25">
      <c r="A182" t="s">
        <v>192</v>
      </c>
      <c r="B182">
        <v>0</v>
      </c>
      <c r="C182">
        <v>3.893333197</v>
      </c>
      <c r="D182">
        <v>0</v>
      </c>
      <c r="E182">
        <v>0.368999988</v>
      </c>
      <c r="F182">
        <v>4.3788340437747175</v>
      </c>
      <c r="G182">
        <v>4.1673781479055094</v>
      </c>
      <c r="H182">
        <v>4.1916439743125276</v>
      </c>
      <c r="I182">
        <v>3.7856658165516239</v>
      </c>
      <c r="J182">
        <v>5.3701402298280412</v>
      </c>
      <c r="K182">
        <v>-6.3758520482923063E-3</v>
      </c>
      <c r="L182">
        <v>181</v>
      </c>
      <c r="M182">
        <v>32761</v>
      </c>
      <c r="N182">
        <v>0</v>
      </c>
      <c r="O182" s="4">
        <v>4.1945970541111919</v>
      </c>
      <c r="P182" s="4">
        <v>4.1945819771811559</v>
      </c>
      <c r="Q182" s="4">
        <v>3.6262058595858777</v>
      </c>
      <c r="R182">
        <v>2.3858637860518944E-3</v>
      </c>
      <c r="S182" s="5">
        <v>-2.7E-2</v>
      </c>
      <c r="T182" s="5">
        <v>2.8730000000000002</v>
      </c>
      <c r="U182">
        <f t="shared" si="11"/>
        <v>-2.7E-4</v>
      </c>
      <c r="V182">
        <f t="shared" si="12"/>
        <v>2.8730000000000002E-2</v>
      </c>
      <c r="W182" s="1">
        <v>87260589788307</v>
      </c>
      <c r="X182" s="2">
        <v>7.3724138000000004</v>
      </c>
      <c r="Y182" s="2">
        <v>7.3542108979999998</v>
      </c>
      <c r="Z182" s="2">
        <v>9.1174791909999993</v>
      </c>
      <c r="AA182" s="2">
        <v>1.954437376</v>
      </c>
      <c r="AB182">
        <v>3.4109777243101673E-3</v>
      </c>
      <c r="AC182">
        <v>-2.7812462790914316E-3</v>
      </c>
      <c r="AD182">
        <v>-2.5632580665814085E-3</v>
      </c>
      <c r="AE182">
        <v>-7.1824522381806043E-3</v>
      </c>
      <c r="AF182">
        <v>-5.200493177863889E-3</v>
      </c>
      <c r="AG182">
        <v>6.297314452187357E-4</v>
      </c>
      <c r="AH182">
        <v>-1.9335266213626728E-3</v>
      </c>
      <c r="AI182">
        <v>-9.1159788595432771E-3</v>
      </c>
      <c r="AJ182">
        <v>-1.4316472037407166E-2</v>
      </c>
      <c r="AK182">
        <v>-5.3445043456728401E-3</v>
      </c>
      <c r="AL182">
        <v>-1.2526956583853444E-2</v>
      </c>
      <c r="AM182">
        <v>-1.7727449761717334E-2</v>
      </c>
      <c r="AN182">
        <v>-9.7457103047620119E-3</v>
      </c>
      <c r="AO182">
        <v>-1.4946203482625901E-2</v>
      </c>
      <c r="AP182">
        <v>-1.2382945416044493E-2</v>
      </c>
      <c r="AQ182">
        <v>1.617121765151542E-3</v>
      </c>
      <c r="AR182">
        <v>1.0495092178838469E-4</v>
      </c>
      <c r="AS182">
        <v>-1.8473176022690052E-2</v>
      </c>
      <c r="AT182">
        <v>1.2452323836289284E-2</v>
      </c>
      <c r="AU182">
        <v>3.74007950189108</v>
      </c>
      <c r="AV182" s="5">
        <v>95.911443000000006</v>
      </c>
      <c r="AW182" s="6">
        <v>138.66666666666666</v>
      </c>
      <c r="AX182" s="6">
        <f t="shared" si="8"/>
        <v>4.9320729715931533</v>
      </c>
      <c r="AY182" s="5">
        <f t="shared" si="10"/>
        <v>2.7014092063119222</v>
      </c>
      <c r="AZ182" s="5">
        <f t="shared" si="9"/>
        <v>1.1919239906880779</v>
      </c>
      <c r="BA182" s="5">
        <f>$C182-AY183</f>
        <v>0.82818409877240695</v>
      </c>
      <c r="BB182">
        <v>0.769733</v>
      </c>
      <c r="BC182">
        <v>-4.0463171738767756E-3</v>
      </c>
      <c r="BD182">
        <v>9.2033329009999996</v>
      </c>
      <c r="BE182" s="5">
        <f>BD182-AY182</f>
        <v>6.5019236946880774</v>
      </c>
      <c r="BF182" s="5">
        <f>BD182-AY183</f>
        <v>6.1381838027724065</v>
      </c>
    </row>
    <row r="183" spans="1:58" x14ac:dyDescent="0.25">
      <c r="A183" t="s">
        <v>193</v>
      </c>
      <c r="B183">
        <v>0</v>
      </c>
      <c r="C183">
        <v>3.6800000669999999</v>
      </c>
      <c r="D183">
        <v>0</v>
      </c>
      <c r="E183">
        <v>0.368999988</v>
      </c>
      <c r="F183">
        <v>4.3776545912050544</v>
      </c>
      <c r="G183">
        <v>4.1779501460768973</v>
      </c>
      <c r="H183">
        <v>4.1973924224526646</v>
      </c>
      <c r="I183">
        <v>3.8242404220443884</v>
      </c>
      <c r="J183">
        <v>5.3748662857365428</v>
      </c>
      <c r="K183">
        <v>-4.602514380214277E-3</v>
      </c>
      <c r="L183">
        <v>182</v>
      </c>
      <c r="M183">
        <v>33124</v>
      </c>
      <c r="N183">
        <v>0</v>
      </c>
      <c r="O183" s="4">
        <v>4.1988096771282937</v>
      </c>
      <c r="P183" s="4">
        <v>4.2009692784415487</v>
      </c>
      <c r="Q183" s="4">
        <v>3.6331288723426174</v>
      </c>
      <c r="R183">
        <v>1.7899713628940835E-3</v>
      </c>
      <c r="S183" s="5">
        <v>0.108</v>
      </c>
      <c r="T183" s="5">
        <v>0.106</v>
      </c>
      <c r="U183">
        <f t="shared" si="11"/>
        <v>1.08E-3</v>
      </c>
      <c r="V183">
        <f t="shared" si="12"/>
        <v>1.06E-3</v>
      </c>
      <c r="W183" s="1">
        <v>8732824435880030</v>
      </c>
      <c r="X183" s="2">
        <v>7.3747314670000002</v>
      </c>
      <c r="Y183" s="2">
        <v>7.3555994330000001</v>
      </c>
      <c r="Z183" s="2">
        <v>9.1284467859999996</v>
      </c>
      <c r="AA183" s="2">
        <v>1.777823841</v>
      </c>
      <c r="AB183">
        <v>-2.9455893567048447E-3</v>
      </c>
      <c r="AC183">
        <v>-1.5987872226433748E-3</v>
      </c>
      <c r="AD183">
        <v>-4.7467751209155458E-3</v>
      </c>
      <c r="AE183">
        <v>-3.8593155910784595E-3</v>
      </c>
      <c r="AF183">
        <v>-3.2411921301749515E-3</v>
      </c>
      <c r="AG183">
        <v>-4.5443765793482197E-3</v>
      </c>
      <c r="AH183">
        <v>-9.2911517002637646E-3</v>
      </c>
      <c r="AI183">
        <v>-1.3150467291342224E-2</v>
      </c>
      <c r="AJ183">
        <v>-1.6391659421517175E-2</v>
      </c>
      <c r="AK183">
        <v>-6.3455623435589208E-3</v>
      </c>
      <c r="AL183">
        <v>-1.0204877934637381E-2</v>
      </c>
      <c r="AM183">
        <v>-1.3446070064812332E-2</v>
      </c>
      <c r="AN183">
        <v>-8.6060907119940057E-3</v>
      </c>
      <c r="AO183">
        <v>-1.1847282842168957E-2</v>
      </c>
      <c r="AP183">
        <v>-7.100507721253411E-3</v>
      </c>
      <c r="AQ183">
        <v>3.4001479612030911E-3</v>
      </c>
      <c r="AR183">
        <v>4.7413255479885202E-3</v>
      </c>
      <c r="AS183">
        <v>-1.507302806148696E-2</v>
      </c>
      <c r="AT183">
        <v>1.7193649384277802E-2</v>
      </c>
      <c r="AU183">
        <v>3.7720322095567802</v>
      </c>
      <c r="AV183" s="5">
        <v>96.504782930000005</v>
      </c>
      <c r="AW183" s="6">
        <v>139.73333333333332</v>
      </c>
      <c r="AX183" s="6">
        <f t="shared" si="8"/>
        <v>4.9397358443387223</v>
      </c>
      <c r="AY183" s="5">
        <f t="shared" si="10"/>
        <v>3.0651490982275931</v>
      </c>
      <c r="AZ183" s="5">
        <f t="shared" si="9"/>
        <v>0.61485096877240686</v>
      </c>
      <c r="BA183" s="5">
        <f>$C183-AY184</f>
        <v>0.63816031291188402</v>
      </c>
      <c r="BB183">
        <v>0.76097899999999996</v>
      </c>
      <c r="BC183">
        <v>-3.3004885082122556E-3</v>
      </c>
      <c r="BD183">
        <v>9.1300001139999996</v>
      </c>
      <c r="BE183" s="5">
        <f>BD183-AY183</f>
        <v>6.0648510157724065</v>
      </c>
      <c r="BF183" s="5">
        <f>BD183-AY184</f>
        <v>6.0881603599118836</v>
      </c>
    </row>
    <row r="184" spans="1:58" x14ac:dyDescent="0.25">
      <c r="A184" t="s">
        <v>194</v>
      </c>
      <c r="B184">
        <v>0</v>
      </c>
      <c r="C184">
        <v>3.083333492</v>
      </c>
      <c r="D184">
        <v>0</v>
      </c>
      <c r="E184">
        <v>0.368999988</v>
      </c>
      <c r="F184">
        <v>4.3827763535644273</v>
      </c>
      <c r="G184">
        <v>4.1882143111644288</v>
      </c>
      <c r="H184">
        <v>4.2070222770628458</v>
      </c>
      <c r="I184">
        <v>3.8393232720098682</v>
      </c>
      <c r="J184">
        <v>5.3746671097685494</v>
      </c>
      <c r="K184">
        <v>6.3575028951782702E-3</v>
      </c>
      <c r="L184">
        <v>183</v>
      </c>
      <c r="M184">
        <v>33489</v>
      </c>
      <c r="N184">
        <v>0</v>
      </c>
      <c r="O184" s="4">
        <v>4.2047373945079487</v>
      </c>
      <c r="P184" s="4">
        <v>4.2120238887971793</v>
      </c>
      <c r="Q184" s="4">
        <v>3.6542362481703621</v>
      </c>
      <c r="R184">
        <v>1.2951636139426292E-2</v>
      </c>
      <c r="S184" s="5">
        <v>-0.16700000000000001</v>
      </c>
      <c r="T184" s="5">
        <v>2.1520000000000001</v>
      </c>
      <c r="U184">
        <f t="shared" si="11"/>
        <v>-1.67E-3</v>
      </c>
      <c r="V184">
        <f t="shared" si="12"/>
        <v>2.1520000000000001E-2</v>
      </c>
      <c r="W184" s="1">
        <v>8743486656538950</v>
      </c>
      <c r="X184" s="2">
        <v>7.3833331900000001</v>
      </c>
      <c r="Y184" s="2">
        <v>7.3514004020000003</v>
      </c>
      <c r="Z184" s="2">
        <v>9.1381244549999998</v>
      </c>
      <c r="AA184" s="2">
        <v>1.325112681</v>
      </c>
      <c r="AB184">
        <v>-4.3710941735558952E-3</v>
      </c>
      <c r="AC184">
        <v>-5.6773591718478908E-3</v>
      </c>
      <c r="AD184">
        <v>-6.1924095551725662E-3</v>
      </c>
      <c r="AE184">
        <v>-4.3803101754320986E-3</v>
      </c>
      <c r="AF184">
        <v>-4.5087822060905051E-3</v>
      </c>
      <c r="AG184">
        <v>-1.0048453345403786E-2</v>
      </c>
      <c r="AH184">
        <v>-1.6240862900576351E-2</v>
      </c>
      <c r="AI184">
        <v>-2.0621173076008449E-2</v>
      </c>
      <c r="AJ184">
        <v>-2.5129955282098954E-2</v>
      </c>
      <c r="AK184">
        <v>-1.1869768727020457E-2</v>
      </c>
      <c r="AL184">
        <v>-1.6250078902452555E-2</v>
      </c>
      <c r="AM184">
        <v>-2.075886110854306E-2</v>
      </c>
      <c r="AN184">
        <v>-1.0572719730604665E-2</v>
      </c>
      <c r="AO184">
        <v>-1.508150193669517E-2</v>
      </c>
      <c r="AP184">
        <v>-8.8890923815226029E-3</v>
      </c>
      <c r="AQ184">
        <v>-3.2636780150264513E-3</v>
      </c>
      <c r="AR184">
        <v>-4.402796060283598E-3</v>
      </c>
      <c r="AS184">
        <v>-1.8336706076513411E-2</v>
      </c>
      <c r="AT184">
        <v>1.2790853323994204E-2</v>
      </c>
      <c r="AU184">
        <v>3.8018160008859101</v>
      </c>
      <c r="AV184" s="5">
        <v>96.953190199999995</v>
      </c>
      <c r="AW184" s="6">
        <v>140.80000000000001</v>
      </c>
      <c r="AX184" s="6">
        <f t="shared" si="8"/>
        <v>4.9473404437239425</v>
      </c>
      <c r="AY184" s="5">
        <f t="shared" si="10"/>
        <v>3.0418397540881159</v>
      </c>
      <c r="AZ184" s="5">
        <f t="shared" si="9"/>
        <v>4.1493737911884043E-2</v>
      </c>
      <c r="BA184" s="5">
        <f>$C184-AY185</f>
        <v>-0.40519775352555021</v>
      </c>
      <c r="BB184">
        <v>0.76745200000000002</v>
      </c>
      <c r="BC184">
        <v>-3.8509935695701502E-4</v>
      </c>
      <c r="BD184">
        <v>8.7033329009999996</v>
      </c>
      <c r="BE184" s="5">
        <f>BD184-AY184</f>
        <v>5.6614931469118837</v>
      </c>
      <c r="BF184" s="5">
        <f>BD184-AY185</f>
        <v>5.2148016554744494</v>
      </c>
    </row>
    <row r="185" spans="1:58" x14ac:dyDescent="0.25">
      <c r="A185" t="s">
        <v>195</v>
      </c>
      <c r="B185">
        <v>0</v>
      </c>
      <c r="C185">
        <v>3.0699999330000001</v>
      </c>
      <c r="D185">
        <v>0</v>
      </c>
      <c r="E185">
        <v>0.368999988</v>
      </c>
      <c r="F185">
        <v>4.3830635968427245</v>
      </c>
      <c r="G185">
        <v>4.1986895624186023</v>
      </c>
      <c r="H185">
        <v>4.218119212254039</v>
      </c>
      <c r="I185">
        <v>3.8699919469512185</v>
      </c>
      <c r="J185">
        <v>5.3804179553310174</v>
      </c>
      <c r="K185">
        <v>4.5945678861572439E-3</v>
      </c>
      <c r="L185">
        <v>184</v>
      </c>
      <c r="M185">
        <v>33856</v>
      </c>
      <c r="N185">
        <v>0</v>
      </c>
      <c r="O185" s="4">
        <v>4.214716835500365</v>
      </c>
      <c r="P185" s="4">
        <v>4.2235583139020862</v>
      </c>
      <c r="Q185" s="4">
        <v>3.6739180889737759</v>
      </c>
      <c r="R185">
        <v>6.189559644198107E-3</v>
      </c>
      <c r="S185" s="5">
        <v>-0.15</v>
      </c>
      <c r="T185" s="5">
        <v>-1.577</v>
      </c>
      <c r="U185">
        <f t="shared" si="11"/>
        <v>-1.5E-3</v>
      </c>
      <c r="V185">
        <f t="shared" si="12"/>
        <v>-1.5769999999999999E-2</v>
      </c>
      <c r="W185" s="1">
        <v>875533506349174</v>
      </c>
      <c r="X185" s="2">
        <v>7.37887015</v>
      </c>
      <c r="Y185" s="2">
        <v>7.3780815410000002</v>
      </c>
      <c r="Z185" s="2">
        <v>9.1480925580000001</v>
      </c>
      <c r="AA185" s="2">
        <v>1.459821874</v>
      </c>
      <c r="AB185">
        <v>-7.4506390216694633E-3</v>
      </c>
      <c r="AC185">
        <v>-4.5547523058849862E-3</v>
      </c>
      <c r="AD185">
        <v>-3.0362044253727685E-3</v>
      </c>
      <c r="AE185">
        <v>7.9535887915203226E-5</v>
      </c>
      <c r="AF185">
        <v>-1.9873259231400144E-3</v>
      </c>
      <c r="AG185">
        <v>-1.200539132755445E-2</v>
      </c>
      <c r="AH185">
        <v>-1.5041595752927218E-2</v>
      </c>
      <c r="AI185">
        <v>-1.4962059865012015E-2</v>
      </c>
      <c r="AJ185">
        <v>-1.6949385788152031E-2</v>
      </c>
      <c r="AK185">
        <v>-7.5909567312577551E-3</v>
      </c>
      <c r="AL185">
        <v>-7.5114208433425516E-3</v>
      </c>
      <c r="AM185">
        <v>-9.4987467664825655E-3</v>
      </c>
      <c r="AN185">
        <v>-2.9566685374575654E-3</v>
      </c>
      <c r="AO185">
        <v>-4.9439944605975793E-3</v>
      </c>
      <c r="AP185">
        <v>-1.9077900352248111E-3</v>
      </c>
      <c r="AQ185">
        <v>2.9817629993469097E-3</v>
      </c>
      <c r="AR185">
        <v>7.5700810933526184E-3</v>
      </c>
      <c r="AS185">
        <v>-1.5354943077166502E-2</v>
      </c>
      <c r="AT185">
        <v>2.0360934417346821E-2</v>
      </c>
      <c r="AU185">
        <v>3.8123818945705401</v>
      </c>
      <c r="AV185" s="5">
        <v>97.502965509999996</v>
      </c>
      <c r="AW185" s="6">
        <v>142.03333333333333</v>
      </c>
      <c r="AX185" s="6">
        <f t="shared" si="8"/>
        <v>4.9560617718377564</v>
      </c>
      <c r="AY185" s="5">
        <f t="shared" si="10"/>
        <v>3.4885312455255502</v>
      </c>
      <c r="AZ185" s="5">
        <f t="shared" si="9"/>
        <v>-0.41853131252555009</v>
      </c>
      <c r="BA185" s="5">
        <f>$C185-AY186</f>
        <v>0.1704198327292179</v>
      </c>
      <c r="BB185">
        <v>0.83618800000000004</v>
      </c>
      <c r="BC185">
        <v>-8.940069594127048E-4</v>
      </c>
      <c r="BD185">
        <v>8.8699998860000004</v>
      </c>
      <c r="BE185" s="5">
        <f>BD185-AY185</f>
        <v>5.3814686404744503</v>
      </c>
      <c r="BF185" s="5">
        <f>BD185-AY186</f>
        <v>5.9704197857292183</v>
      </c>
    </row>
    <row r="186" spans="1:58" x14ac:dyDescent="0.25">
      <c r="A186" t="s">
        <v>196</v>
      </c>
      <c r="B186">
        <v>0</v>
      </c>
      <c r="C186">
        <v>2.960000038</v>
      </c>
      <c r="D186">
        <v>0</v>
      </c>
      <c r="E186">
        <v>0.379000008</v>
      </c>
      <c r="F186">
        <v>4.3724686018617742</v>
      </c>
      <c r="G186">
        <v>4.2005197459477648</v>
      </c>
      <c r="H186">
        <v>4.2213765938916277</v>
      </c>
      <c r="I186">
        <v>3.8757946108208601</v>
      </c>
      <c r="J186">
        <v>5.3872161279732538</v>
      </c>
      <c r="K186">
        <v>2.7113513709092936E-3</v>
      </c>
      <c r="L186">
        <v>185</v>
      </c>
      <c r="M186">
        <v>34225</v>
      </c>
      <c r="N186">
        <v>0</v>
      </c>
      <c r="O186" s="4">
        <v>4.2157211333886142</v>
      </c>
      <c r="P186" s="4">
        <v>4.2277092742895244</v>
      </c>
      <c r="Q186" s="4">
        <v>3.6835653592901676</v>
      </c>
      <c r="R186">
        <v>-2.6683618809327098E-2</v>
      </c>
      <c r="S186" s="5">
        <v>0.248</v>
      </c>
      <c r="T186" s="5">
        <v>-6.6619999999999999</v>
      </c>
      <c r="U186">
        <f t="shared" si="11"/>
        <v>2.48E-3</v>
      </c>
      <c r="V186">
        <f t="shared" si="12"/>
        <v>-6.6619999999999999E-2</v>
      </c>
      <c r="W186" s="1">
        <v>8759161951332090</v>
      </c>
      <c r="X186" s="2">
        <v>7.3635227050000003</v>
      </c>
      <c r="Y186" s="2">
        <v>7.3456762419999997</v>
      </c>
      <c r="Z186" s="2">
        <v>9.1499532220000006</v>
      </c>
      <c r="AA186" s="2">
        <v>1.14516985</v>
      </c>
      <c r="AB186">
        <v>-4.6683820255861829E-3</v>
      </c>
      <c r="AC186">
        <v>-4.1410906605148963E-3</v>
      </c>
      <c r="AD186">
        <v>-3.1044043158656399E-3</v>
      </c>
      <c r="AE186">
        <v>-3.5322817765524395E-3</v>
      </c>
      <c r="AF186">
        <v>-6.1003462396663098E-3</v>
      </c>
      <c r="AG186">
        <v>-8.8094726861010792E-3</v>
      </c>
      <c r="AH186">
        <v>-1.1913877001966718E-2</v>
      </c>
      <c r="AI186">
        <v>-1.5446158778519157E-2</v>
      </c>
      <c r="AJ186">
        <v>-2.1546505018185468E-2</v>
      </c>
      <c r="AK186">
        <v>-7.2454949763805362E-3</v>
      </c>
      <c r="AL186">
        <v>-1.0777776752932976E-2</v>
      </c>
      <c r="AM186">
        <v>-1.6878122992599286E-2</v>
      </c>
      <c r="AN186">
        <v>-6.6366860924180794E-3</v>
      </c>
      <c r="AO186">
        <v>-1.273703233208439E-2</v>
      </c>
      <c r="AP186">
        <v>-9.6326280162187493E-3</v>
      </c>
      <c r="AQ186">
        <v>-4.2888264389229708E-3</v>
      </c>
      <c r="AR186">
        <v>-5.8337822923353964E-3</v>
      </c>
      <c r="AS186">
        <v>-1.9643769516089472E-2</v>
      </c>
      <c r="AT186">
        <v>1.4527152125011425E-2</v>
      </c>
      <c r="AU186">
        <v>3.8351741165695299</v>
      </c>
      <c r="AV186" s="5">
        <v>98.087558639999997</v>
      </c>
      <c r="AW186" s="6">
        <v>143.06666666666666</v>
      </c>
      <c r="AX186" s="6">
        <f t="shared" si="8"/>
        <v>4.9633107220884334</v>
      </c>
      <c r="AY186" s="5">
        <f t="shared" si="10"/>
        <v>2.8995801002707822</v>
      </c>
      <c r="AZ186" s="5">
        <f t="shared" si="9"/>
        <v>6.0419937729217832E-2</v>
      </c>
      <c r="BA186" s="5">
        <f>$C186-AY187</f>
        <v>8.1287671182973309E-2</v>
      </c>
      <c r="BB186">
        <v>0.88578999999999997</v>
      </c>
      <c r="BC186">
        <v>-1.3143141303164664E-4</v>
      </c>
      <c r="BD186">
        <v>8.4033336639999998</v>
      </c>
      <c r="BE186" s="5">
        <f>BD186-AY186</f>
        <v>5.5037535637292176</v>
      </c>
      <c r="BF186" s="5">
        <f>BD186-AY187</f>
        <v>5.5246212971829731</v>
      </c>
    </row>
    <row r="187" spans="1:58" x14ac:dyDescent="0.25">
      <c r="A187" t="s">
        <v>197</v>
      </c>
      <c r="B187">
        <v>0</v>
      </c>
      <c r="C187">
        <v>2.966666698</v>
      </c>
      <c r="D187">
        <v>0</v>
      </c>
      <c r="E187">
        <v>0.379000008</v>
      </c>
      <c r="F187">
        <v>4.3717237416779851</v>
      </c>
      <c r="G187">
        <v>4.2068991384601677</v>
      </c>
      <c r="H187">
        <v>4.2278217110837906</v>
      </c>
      <c r="I187">
        <v>3.8979240810486444</v>
      </c>
      <c r="J187">
        <v>5.3985879504531216</v>
      </c>
      <c r="K187">
        <v>2.2959869579692043E-3</v>
      </c>
      <c r="L187">
        <v>186</v>
      </c>
      <c r="M187">
        <v>34596</v>
      </c>
      <c r="N187">
        <v>0</v>
      </c>
      <c r="O187" s="4">
        <v>4.2236315433960305</v>
      </c>
      <c r="P187" s="4">
        <v>4.2335701288894674</v>
      </c>
      <c r="Q187" s="4">
        <v>3.7155213850603572</v>
      </c>
      <c r="R187">
        <v>-1.0080328781408947E-2</v>
      </c>
      <c r="S187" s="5">
        <v>0.57199999999999995</v>
      </c>
      <c r="T187" s="5">
        <v>-0.35399999999999998</v>
      </c>
      <c r="U187">
        <f t="shared" si="11"/>
        <v>5.7199999999999994E-3</v>
      </c>
      <c r="V187">
        <f t="shared" si="12"/>
        <v>-3.5399999999999997E-3</v>
      </c>
      <c r="W187" s="1">
        <v>8768216933007410</v>
      </c>
      <c r="X187" s="2">
        <v>7.3638941339999997</v>
      </c>
      <c r="Y187" s="2">
        <v>7.3843340719999997</v>
      </c>
      <c r="Z187" s="2">
        <v>9.155873626</v>
      </c>
      <c r="AA187" s="2">
        <v>2.0257409160000002</v>
      </c>
      <c r="AB187">
        <v>1.0976787298744638E-2</v>
      </c>
      <c r="AC187">
        <v>-1.9950037953900095E-3</v>
      </c>
      <c r="AD187">
        <v>-6.2565595178561114E-3</v>
      </c>
      <c r="AE187">
        <v>-3.6091285535467346E-3</v>
      </c>
      <c r="AF187">
        <v>1.2243158022567536E-5</v>
      </c>
      <c r="AG187">
        <v>8.9817835033546289E-3</v>
      </c>
      <c r="AH187">
        <v>2.7252239854985176E-3</v>
      </c>
      <c r="AI187">
        <v>-8.83904568048217E-4</v>
      </c>
      <c r="AJ187">
        <v>-8.7166141002564942E-4</v>
      </c>
      <c r="AK187">
        <v>-8.25156331324612E-3</v>
      </c>
      <c r="AL187">
        <v>-1.1860691866792854E-2</v>
      </c>
      <c r="AM187">
        <v>-1.1848448708770287E-2</v>
      </c>
      <c r="AN187">
        <v>-9.8656880714028464E-3</v>
      </c>
      <c r="AO187">
        <v>-9.8534449133802788E-3</v>
      </c>
      <c r="AP187">
        <v>-3.596885395524167E-3</v>
      </c>
      <c r="AQ187">
        <v>-1.6148772208280406E-3</v>
      </c>
      <c r="AR187">
        <v>8.7634046529153596E-4</v>
      </c>
      <c r="AS187">
        <v>-2.1258646736917512E-2</v>
      </c>
      <c r="AT187">
        <v>1.5403492590302961E-2</v>
      </c>
      <c r="AU187">
        <v>3.8642137919616601</v>
      </c>
      <c r="AV187" s="5">
        <v>98.628402929999993</v>
      </c>
      <c r="AW187" s="6">
        <v>144.1</v>
      </c>
      <c r="AX187" s="6">
        <f t="shared" si="8"/>
        <v>4.9705075030054759</v>
      </c>
      <c r="AY187" s="5">
        <f t="shared" si="10"/>
        <v>2.8787123668170267</v>
      </c>
      <c r="AZ187" s="5">
        <f t="shared" si="9"/>
        <v>8.7954331182973355E-2</v>
      </c>
      <c r="BA187" s="5">
        <f>$C187-AY188</f>
        <v>1.1203675511237376</v>
      </c>
      <c r="BB187">
        <v>0.99014400000000002</v>
      </c>
      <c r="BC187">
        <v>-3.6330601683177946E-3</v>
      </c>
      <c r="BD187">
        <v>8.1400003430000005</v>
      </c>
      <c r="BE187" s="5">
        <f>BD187-AY187</f>
        <v>5.2612879761829738</v>
      </c>
      <c r="BF187" s="5">
        <f>BD187-AY188</f>
        <v>6.2937011961237381</v>
      </c>
    </row>
    <row r="188" spans="1:58" x14ac:dyDescent="0.25">
      <c r="A188" t="s">
        <v>198</v>
      </c>
      <c r="B188">
        <v>0</v>
      </c>
      <c r="C188">
        <v>3.0033333299999998</v>
      </c>
      <c r="D188">
        <v>22.8</v>
      </c>
      <c r="E188">
        <v>0.379000008</v>
      </c>
      <c r="F188">
        <v>4.3707255169187276</v>
      </c>
      <c r="G188">
        <v>4.2121572270691647</v>
      </c>
      <c r="H188">
        <v>4.2385843018189417</v>
      </c>
      <c r="I188">
        <v>3.9154969642396464</v>
      </c>
      <c r="J188">
        <v>5.4000703829982406</v>
      </c>
      <c r="K188">
        <v>3.0587189941357943E-3</v>
      </c>
      <c r="L188">
        <v>187</v>
      </c>
      <c r="M188">
        <v>34969</v>
      </c>
      <c r="N188">
        <v>0</v>
      </c>
      <c r="O188" s="4">
        <v>4.2334831219288551</v>
      </c>
      <c r="P188" s="4">
        <v>4.2446593228809686</v>
      </c>
      <c r="Q188" s="4">
        <v>3.7266086709239432</v>
      </c>
      <c r="R188">
        <v>-8.6112172160596502E-3</v>
      </c>
      <c r="S188" s="5">
        <v>0.75800000000000001</v>
      </c>
      <c r="T188" s="5">
        <v>-1.859</v>
      </c>
      <c r="U188">
        <f t="shared" si="11"/>
        <v>7.5799999999999999E-3</v>
      </c>
      <c r="V188">
        <f t="shared" si="12"/>
        <v>-1.8589999999999999E-2</v>
      </c>
      <c r="W188" s="1">
        <v>8779284957220870</v>
      </c>
      <c r="X188" s="2">
        <v>7.3650602589999998</v>
      </c>
      <c r="Y188" s="2">
        <v>7.3821014570000001</v>
      </c>
      <c r="Z188" s="2">
        <v>9.16074038</v>
      </c>
      <c r="AA188" s="2">
        <v>1.6398052160000001</v>
      </c>
      <c r="AB188">
        <v>-5.1353855582618913E-4</v>
      </c>
      <c r="AC188">
        <v>-4.9041589645488172E-3</v>
      </c>
      <c r="AD188">
        <v>-6.4989174468535228E-3</v>
      </c>
      <c r="AE188">
        <v>-3.0276891704143836E-3</v>
      </c>
      <c r="AF188">
        <v>-5.0994360511792992E-3</v>
      </c>
      <c r="AG188">
        <v>-5.4176975203750061E-3</v>
      </c>
      <c r="AH188">
        <v>-1.1916614967228529E-2</v>
      </c>
      <c r="AI188">
        <v>-1.4944304137642913E-2</v>
      </c>
      <c r="AJ188">
        <v>-2.0043740188822212E-2</v>
      </c>
      <c r="AK188">
        <v>-1.1403076411402341E-2</v>
      </c>
      <c r="AL188">
        <v>-1.4430765581816725E-2</v>
      </c>
      <c r="AM188">
        <v>-1.9530201632996024E-2</v>
      </c>
      <c r="AN188">
        <v>-9.5266066172679069E-3</v>
      </c>
      <c r="AO188">
        <v>-1.4626042668447206E-2</v>
      </c>
      <c r="AP188">
        <v>-8.1271252215936833E-3</v>
      </c>
      <c r="AQ188">
        <v>-1.5373883399994945E-3</v>
      </c>
      <c r="AR188">
        <v>-4.5773206684364461E-3</v>
      </c>
      <c r="AS188">
        <v>-2.2796035076917007E-2</v>
      </c>
      <c r="AT188">
        <v>1.0826171921866514E-2</v>
      </c>
      <c r="AU188">
        <v>3.8801425437685801</v>
      </c>
      <c r="AV188" s="5">
        <v>99.082990129999999</v>
      </c>
      <c r="AW188" s="6">
        <v>144.76666666666668</v>
      </c>
      <c r="AX188" s="6">
        <f t="shared" si="8"/>
        <v>4.9751232508726666</v>
      </c>
      <c r="AY188" s="5">
        <f t="shared" si="10"/>
        <v>1.8462991468762624</v>
      </c>
      <c r="AZ188" s="5">
        <f t="shared" si="9"/>
        <v>1.1570341831237374</v>
      </c>
      <c r="BA188" s="5">
        <f>$C188-AY189</f>
        <v>-0.29868037663054681</v>
      </c>
      <c r="BB188">
        <v>0.99928799999999995</v>
      </c>
      <c r="BC188">
        <v>5.6506415945553254E-4</v>
      </c>
      <c r="BD188">
        <v>7.623333454</v>
      </c>
      <c r="BE188" s="5">
        <f>BD188-AY188</f>
        <v>5.7770343071237376</v>
      </c>
      <c r="BF188" s="5">
        <f>BD188-AY189</f>
        <v>4.3213197473694533</v>
      </c>
    </row>
    <row r="189" spans="1:58" x14ac:dyDescent="0.25">
      <c r="A189" t="s">
        <v>199</v>
      </c>
      <c r="B189">
        <v>0</v>
      </c>
      <c r="C189">
        <v>3.0599999430000002</v>
      </c>
      <c r="D189">
        <v>5.3</v>
      </c>
      <c r="E189">
        <v>0.379000008</v>
      </c>
      <c r="F189">
        <v>4.375643807704658</v>
      </c>
      <c r="G189">
        <v>4.2252704802102068</v>
      </c>
      <c r="H189">
        <v>4.2453413850094535</v>
      </c>
      <c r="I189">
        <v>3.9589638415965656</v>
      </c>
      <c r="J189">
        <v>5.4066694031418168</v>
      </c>
      <c r="K189">
        <v>2.1696731138754833E-3</v>
      </c>
      <c r="L189">
        <v>188</v>
      </c>
      <c r="M189">
        <v>35344</v>
      </c>
      <c r="N189">
        <v>0</v>
      </c>
      <c r="O189" s="4">
        <v>4.2404198666538511</v>
      </c>
      <c r="P189" s="4">
        <v>4.251319820597427</v>
      </c>
      <c r="Q189" s="4">
        <v>3.7503742854235305</v>
      </c>
      <c r="R189">
        <v>1.0127571601180125E-2</v>
      </c>
      <c r="S189" s="5">
        <v>0.53200000000000003</v>
      </c>
      <c r="T189" s="5">
        <v>-1.167</v>
      </c>
      <c r="U189">
        <f t="shared" si="11"/>
        <v>5.3200000000000001E-3</v>
      </c>
      <c r="V189">
        <f t="shared" si="12"/>
        <v>-1.167E-2</v>
      </c>
      <c r="W189" s="1">
        <v>8788025195476750</v>
      </c>
      <c r="X189" s="2">
        <v>7.3671656399999996</v>
      </c>
      <c r="Y189" s="2">
        <v>7.4309947889999997</v>
      </c>
      <c r="Z189" s="2">
        <v>9.1739979129999991</v>
      </c>
      <c r="AA189" s="2">
        <v>2.0046497109999999</v>
      </c>
      <c r="AB189">
        <v>-2.973067542606506E-3</v>
      </c>
      <c r="AC189">
        <v>-6.4000873711606548E-3</v>
      </c>
      <c r="AD189">
        <v>-3.8290461930482853E-3</v>
      </c>
      <c r="AE189">
        <v>-3.4045494061517539E-3</v>
      </c>
      <c r="AF189">
        <v>-4.3258068890058461E-3</v>
      </c>
      <c r="AG189">
        <v>-9.3731549137671608E-3</v>
      </c>
      <c r="AH189">
        <v>-1.3202201106815446E-2</v>
      </c>
      <c r="AI189">
        <v>-1.66067505129672E-2</v>
      </c>
      <c r="AJ189">
        <v>-2.0932557401973046E-2</v>
      </c>
      <c r="AK189">
        <v>-1.022913356420894E-2</v>
      </c>
      <c r="AL189">
        <v>-1.3633682970360694E-2</v>
      </c>
      <c r="AM189">
        <v>-1.7959489859366538E-2</v>
      </c>
      <c r="AN189">
        <v>-7.2335955992000392E-3</v>
      </c>
      <c r="AO189">
        <v>-1.1559402488205885E-2</v>
      </c>
      <c r="AP189">
        <v>-7.7303562951576005E-3</v>
      </c>
      <c r="AQ189">
        <v>-7.0252694694103272E-4</v>
      </c>
      <c r="AR189">
        <v>9.9235969808651216E-4</v>
      </c>
      <c r="AS189">
        <v>-2.3498562023858041E-2</v>
      </c>
      <c r="AT189">
        <v>1.1818531619953027E-2</v>
      </c>
      <c r="AU189">
        <v>3.8861030182218501</v>
      </c>
      <c r="AV189" s="5">
        <v>99.627154829999995</v>
      </c>
      <c r="AW189" s="6">
        <v>145.96666666666667</v>
      </c>
      <c r="AX189" s="6">
        <f t="shared" si="8"/>
        <v>4.983378285139243</v>
      </c>
      <c r="AY189" s="5">
        <f t="shared" si="10"/>
        <v>3.3020137066305466</v>
      </c>
      <c r="AZ189" s="5">
        <f t="shared" si="9"/>
        <v>-0.24201376363054639</v>
      </c>
      <c r="BA189" s="5">
        <f>$C189-AY190</f>
        <v>1.0554399391229685</v>
      </c>
      <c r="BB189">
        <v>1.0586230000000001</v>
      </c>
      <c r="BC189">
        <v>-2.5232589701429161E-3</v>
      </c>
      <c r="BD189">
        <v>7.5533332819999996</v>
      </c>
      <c r="BE189" s="5">
        <f>BD189-AY189</f>
        <v>4.251319575369453</v>
      </c>
      <c r="BF189" s="5">
        <f>BD189-AY190</f>
        <v>5.5487732781229679</v>
      </c>
    </row>
    <row r="190" spans="1:58" x14ac:dyDescent="0.25">
      <c r="A190" t="s">
        <v>200</v>
      </c>
      <c r="B190">
        <v>0</v>
      </c>
      <c r="C190">
        <v>3.24333334</v>
      </c>
      <c r="D190">
        <v>13.4</v>
      </c>
      <c r="E190">
        <v>0.38499999000000001</v>
      </c>
      <c r="F190">
        <v>4.3628438152571078</v>
      </c>
      <c r="G190">
        <v>4.2349612116948299</v>
      </c>
      <c r="H190">
        <v>4.254593177505777</v>
      </c>
      <c r="I190">
        <v>3.9721580956788478</v>
      </c>
      <c r="J190">
        <v>5.4119406513135004</v>
      </c>
      <c r="K190">
        <v>8.5917906741566213E-3</v>
      </c>
      <c r="L190">
        <v>189</v>
      </c>
      <c r="M190">
        <v>35721</v>
      </c>
      <c r="N190">
        <v>0</v>
      </c>
      <c r="O190" s="4">
        <v>4.253710191958433</v>
      </c>
      <c r="P190" s="4">
        <v>4.2590818626479159</v>
      </c>
      <c r="Q190" s="4">
        <v>3.7739097032985116</v>
      </c>
      <c r="R190">
        <v>-3.0046203452039157E-2</v>
      </c>
      <c r="S190" s="5">
        <v>-0.314</v>
      </c>
      <c r="T190" s="5">
        <v>-5.8650000000000002</v>
      </c>
      <c r="U190">
        <f t="shared" si="11"/>
        <v>-3.14E-3</v>
      </c>
      <c r="V190">
        <f t="shared" si="12"/>
        <v>-5.8650000000000001E-2</v>
      </c>
      <c r="W190" s="1">
        <v>8799398242331170</v>
      </c>
      <c r="X190" s="2">
        <v>7.3548471339999999</v>
      </c>
      <c r="Y190" s="2">
        <v>7.4194674579999997</v>
      </c>
      <c r="Z190" s="2">
        <v>9.1837499600000001</v>
      </c>
      <c r="AA190" s="2">
        <v>0.95266879299999996</v>
      </c>
      <c r="AB190">
        <v>-2.734438430462372E-3</v>
      </c>
      <c r="AC190">
        <v>-3.1628478191726931E-3</v>
      </c>
      <c r="AD190">
        <v>-2.9579868795771018E-3</v>
      </c>
      <c r="AE190">
        <v>-4.1494489061166748E-3</v>
      </c>
      <c r="AF190">
        <v>-1.732846977555052E-3</v>
      </c>
      <c r="AG190">
        <v>-5.8972862496350651E-3</v>
      </c>
      <c r="AH190">
        <v>-8.8552731292121673E-3</v>
      </c>
      <c r="AI190">
        <v>-1.3004722035328842E-2</v>
      </c>
      <c r="AJ190">
        <v>-1.4737569012883894E-2</v>
      </c>
      <c r="AK190">
        <v>-6.1208346987497945E-3</v>
      </c>
      <c r="AL190">
        <v>-1.0270283604866469E-2</v>
      </c>
      <c r="AM190">
        <v>-1.2003130582421521E-2</v>
      </c>
      <c r="AN190">
        <v>-7.1074357856937762E-3</v>
      </c>
      <c r="AO190">
        <v>-8.8402827632488284E-3</v>
      </c>
      <c r="AP190">
        <v>-5.882295883671727E-3</v>
      </c>
      <c r="AQ190">
        <v>1.1127609004502447E-3</v>
      </c>
      <c r="AR190">
        <v>1.2891188833394161E-3</v>
      </c>
      <c r="AS190">
        <v>-2.2385801123407795E-2</v>
      </c>
      <c r="AT190">
        <v>1.3107650503292443E-2</v>
      </c>
      <c r="AU190">
        <v>3.8566742663751001</v>
      </c>
      <c r="AV190" s="5">
        <v>100.1505959</v>
      </c>
      <c r="AW190" s="6">
        <v>146.69999999999999</v>
      </c>
      <c r="AX190" s="6">
        <f t="shared" si="8"/>
        <v>4.9883896851489355</v>
      </c>
      <c r="AY190" s="5">
        <f t="shared" si="10"/>
        <v>2.0045600038770317</v>
      </c>
      <c r="AZ190" s="5">
        <f t="shared" si="9"/>
        <v>1.2387733361229682</v>
      </c>
      <c r="BA190" s="5">
        <f>$C190-AY191</f>
        <v>0.97755182003849272</v>
      </c>
      <c r="BB190">
        <v>1.1076250000000001</v>
      </c>
      <c r="BC190">
        <v>-2.0732309147163059E-3</v>
      </c>
      <c r="BD190">
        <v>7.8466668129999997</v>
      </c>
      <c r="BE190" s="5">
        <f>BD190-AY190</f>
        <v>5.842106809122968</v>
      </c>
      <c r="BF190" s="5">
        <f>BD190-AY191</f>
        <v>5.5808852930384925</v>
      </c>
    </row>
    <row r="191" spans="1:58" x14ac:dyDescent="0.25">
      <c r="A191" t="s">
        <v>201</v>
      </c>
      <c r="B191">
        <v>0</v>
      </c>
      <c r="C191">
        <v>3.9866666789999998</v>
      </c>
      <c r="D191">
        <v>0</v>
      </c>
      <c r="E191">
        <v>0.38499999000000001</v>
      </c>
      <c r="F191">
        <v>4.3670398923655585</v>
      </c>
      <c r="G191">
        <v>4.2485380982738752</v>
      </c>
      <c r="H191">
        <v>4.2614959982233946</v>
      </c>
      <c r="I191">
        <v>3.9959228800443372</v>
      </c>
      <c r="J191">
        <v>5.4267457609966563</v>
      </c>
      <c r="K191">
        <v>1.6522141974425384E-3</v>
      </c>
      <c r="L191">
        <v>190</v>
      </c>
      <c r="M191">
        <v>36100</v>
      </c>
      <c r="N191">
        <v>0</v>
      </c>
      <c r="O191" s="4">
        <v>4.2615947814957709</v>
      </c>
      <c r="P191" s="4">
        <v>4.2656192149239374</v>
      </c>
      <c r="Q191" s="4">
        <v>3.7846213588934394</v>
      </c>
      <c r="R191">
        <v>-2.4992130661992541E-3</v>
      </c>
      <c r="S191" s="5">
        <v>1.149</v>
      </c>
      <c r="T191" s="5">
        <v>-1.7130000000000001</v>
      </c>
      <c r="U191">
        <f t="shared" si="11"/>
        <v>1.149E-2</v>
      </c>
      <c r="V191">
        <f t="shared" si="12"/>
        <v>-1.7129999999999999E-2</v>
      </c>
      <c r="W191" s="1">
        <v>8807148827362710</v>
      </c>
      <c r="X191" s="2">
        <v>7.3641741810000001</v>
      </c>
      <c r="Y191" s="2">
        <v>7.4540345419999996</v>
      </c>
      <c r="Z191" s="2">
        <v>9.1973260519999993</v>
      </c>
      <c r="AA191" s="2">
        <v>0.235475144</v>
      </c>
      <c r="AB191">
        <v>6.5448081321107E-3</v>
      </c>
      <c r="AC191">
        <v>-1.7215475347368944E-3</v>
      </c>
      <c r="AD191">
        <v>-4.1462708717280479E-3</v>
      </c>
      <c r="AE191">
        <v>-6.697145560338221E-3</v>
      </c>
      <c r="AF191">
        <v>-3.3953328649422437E-3</v>
      </c>
      <c r="AG191">
        <v>4.823260597373806E-3</v>
      </c>
      <c r="AH191">
        <v>6.7698972564575813E-4</v>
      </c>
      <c r="AI191">
        <v>-6.0201558346924628E-3</v>
      </c>
      <c r="AJ191">
        <v>-9.4154886996347074E-3</v>
      </c>
      <c r="AK191">
        <v>-5.8678184064649419E-3</v>
      </c>
      <c r="AL191">
        <v>-1.2564963966803164E-2</v>
      </c>
      <c r="AM191">
        <v>-1.5960296831745407E-2</v>
      </c>
      <c r="AN191">
        <v>-1.084341643206627E-2</v>
      </c>
      <c r="AO191">
        <v>-1.4238749297008513E-2</v>
      </c>
      <c r="AP191">
        <v>-1.0092478425280466E-2</v>
      </c>
      <c r="AQ191">
        <v>1.2396173792288342E-3</v>
      </c>
      <c r="AR191">
        <v>-3.7246812035543354E-3</v>
      </c>
      <c r="AS191">
        <v>-2.114618374417896E-2</v>
      </c>
      <c r="AT191">
        <v>9.3829692997381073E-3</v>
      </c>
      <c r="AU191">
        <v>3.8468136958192201</v>
      </c>
      <c r="AV191" s="5">
        <v>100.6285445</v>
      </c>
      <c r="AW191" s="6">
        <v>147.53333333333333</v>
      </c>
      <c r="AX191" s="6">
        <f t="shared" si="8"/>
        <v>4.9940541389488393</v>
      </c>
      <c r="AY191" s="5">
        <f t="shared" si="10"/>
        <v>2.2657815199615072</v>
      </c>
      <c r="AZ191" s="5">
        <f t="shared" si="9"/>
        <v>1.7208851590384926</v>
      </c>
      <c r="BA191" s="5">
        <f>$C191-AY192</f>
        <v>0.29834638255036783</v>
      </c>
      <c r="BB191">
        <v>1.1383810000000001</v>
      </c>
      <c r="BC191">
        <v>5.3740484805765167E-4</v>
      </c>
      <c r="BD191">
        <v>8.5966663360000002</v>
      </c>
      <c r="BE191" s="5">
        <f>BD191-AY191</f>
        <v>6.330884816038493</v>
      </c>
      <c r="BF191" s="5">
        <f>BD191-AY192</f>
        <v>4.9083460395503682</v>
      </c>
    </row>
    <row r="192" spans="1:58" x14ac:dyDescent="0.25">
      <c r="A192" t="s">
        <v>202</v>
      </c>
      <c r="B192">
        <v>0</v>
      </c>
      <c r="C192">
        <v>4.4766664509999998</v>
      </c>
      <c r="D192">
        <v>0</v>
      </c>
      <c r="E192">
        <v>0.38499999000000001</v>
      </c>
      <c r="F192">
        <v>4.3844237592736031</v>
      </c>
      <c r="G192">
        <v>4.2549600145895239</v>
      </c>
      <c r="H192">
        <v>4.2691211499648718</v>
      </c>
      <c r="I192">
        <v>4.0058047450353582</v>
      </c>
      <c r="J192">
        <v>5.4360729497038669</v>
      </c>
      <c r="K192">
        <v>-4.2956550943250718E-3</v>
      </c>
      <c r="L192">
        <v>191</v>
      </c>
      <c r="M192">
        <v>36481</v>
      </c>
      <c r="N192">
        <v>0</v>
      </c>
      <c r="O192" s="4">
        <v>4.2701728611495531</v>
      </c>
      <c r="P192" s="4">
        <v>4.2728672457589063</v>
      </c>
      <c r="Q192" s="4">
        <v>3.7950846129602525</v>
      </c>
      <c r="R192">
        <v>2.8789953060063631E-2</v>
      </c>
      <c r="S192" s="5">
        <v>1.1910000000000001</v>
      </c>
      <c r="T192" s="5">
        <v>4.7370000000000001</v>
      </c>
      <c r="U192">
        <f t="shared" si="11"/>
        <v>1.191E-2</v>
      </c>
      <c r="V192">
        <f t="shared" si="12"/>
        <v>4.7370000000000002E-2</v>
      </c>
      <c r="W192" s="1">
        <v>8814745046922840</v>
      </c>
      <c r="X192" s="2">
        <v>7.3840826440000003</v>
      </c>
      <c r="Y192" s="2">
        <v>7.4666319010000004</v>
      </c>
      <c r="Z192" s="2">
        <v>9.2032049750000002</v>
      </c>
      <c r="AA192" s="2">
        <v>-0.17653770399999999</v>
      </c>
      <c r="AB192">
        <v>-5.7898916627311563E-4</v>
      </c>
      <c r="AC192">
        <v>-3.8464125923907996E-3</v>
      </c>
      <c r="AD192">
        <v>-6.5978047130114204E-3</v>
      </c>
      <c r="AE192">
        <v>-2.2125775864919803E-3</v>
      </c>
      <c r="AF192">
        <v>-2.1651664281550397E-3</v>
      </c>
      <c r="AG192">
        <v>-4.4254017586639154E-3</v>
      </c>
      <c r="AH192">
        <v>-1.1023206471675335E-2</v>
      </c>
      <c r="AI192">
        <v>-1.3235784058167315E-2</v>
      </c>
      <c r="AJ192">
        <v>-1.5400950486322354E-2</v>
      </c>
      <c r="AK192">
        <v>-1.044421730540222E-2</v>
      </c>
      <c r="AL192">
        <v>-1.26567948918942E-2</v>
      </c>
      <c r="AM192">
        <v>-1.4821961320049239E-2</v>
      </c>
      <c r="AN192">
        <v>-8.8103822995033998E-3</v>
      </c>
      <c r="AO192">
        <v>-1.0975548727658439E-2</v>
      </c>
      <c r="AP192">
        <v>-4.37774401464702E-3</v>
      </c>
      <c r="AQ192">
        <v>3.9919912666405016E-4</v>
      </c>
      <c r="AR192">
        <v>1.5819544051143136E-3</v>
      </c>
      <c r="AS192">
        <v>-2.074698461751491E-2</v>
      </c>
      <c r="AT192">
        <v>1.0964923704852421E-2</v>
      </c>
      <c r="AU192">
        <v>3.8414633564657299</v>
      </c>
      <c r="AV192" s="5">
        <v>101.22633209999999</v>
      </c>
      <c r="AW192" s="6">
        <v>148.9</v>
      </c>
      <c r="AX192" s="6">
        <f t="shared" si="8"/>
        <v>5.0032749396899634</v>
      </c>
      <c r="AY192" s="5">
        <f t="shared" si="10"/>
        <v>3.688320296449632</v>
      </c>
      <c r="AZ192" s="5">
        <f t="shared" si="9"/>
        <v>0.78834615455036783</v>
      </c>
      <c r="BA192" s="5">
        <f>$C192-AY193</f>
        <v>2.155231363783372</v>
      </c>
      <c r="BB192">
        <v>1.1068260000000001</v>
      </c>
      <c r="BC192">
        <v>-1.7030080859133992E-3</v>
      </c>
      <c r="BD192">
        <v>8.8400001530000001</v>
      </c>
      <c r="BE192" s="5">
        <f>BD192-AY192</f>
        <v>5.1516798565503681</v>
      </c>
      <c r="BF192" s="5">
        <f>BD192-AY193</f>
        <v>6.5185650657833722</v>
      </c>
    </row>
    <row r="193" spans="1:58" x14ac:dyDescent="0.25">
      <c r="A193" t="s">
        <v>203</v>
      </c>
      <c r="B193">
        <v>0</v>
      </c>
      <c r="C193">
        <v>5.2799997330000004</v>
      </c>
      <c r="D193">
        <v>0</v>
      </c>
      <c r="E193">
        <v>0.38499999000000001</v>
      </c>
      <c r="F193">
        <v>4.3757570216602861</v>
      </c>
      <c r="G193">
        <v>4.2660123463612623</v>
      </c>
      <c r="H193">
        <v>4.2752914463920098</v>
      </c>
      <c r="I193">
        <v>4.0328059812055015</v>
      </c>
      <c r="J193">
        <v>5.4409577708694608</v>
      </c>
      <c r="K193">
        <v>-3.5863641677135109E-3</v>
      </c>
      <c r="L193">
        <v>192</v>
      </c>
      <c r="M193">
        <v>36864</v>
      </c>
      <c r="N193">
        <v>0</v>
      </c>
      <c r="O193" s="4">
        <v>4.2807273056669635</v>
      </c>
      <c r="P193" s="4">
        <v>4.277374201599736</v>
      </c>
      <c r="Q193" s="4">
        <v>3.8296408968221787</v>
      </c>
      <c r="R193">
        <v>-2.3991546812246807E-2</v>
      </c>
      <c r="S193" s="5">
        <v>0.83499999999999996</v>
      </c>
      <c r="T193" s="5">
        <v>-5.4729999999999999</v>
      </c>
      <c r="U193">
        <f t="shared" si="11"/>
        <v>8.3499999999999998E-3</v>
      </c>
      <c r="V193">
        <f t="shared" si="12"/>
        <v>-5.4730000000000001E-2</v>
      </c>
      <c r="W193" s="1">
        <v>8825498289839270</v>
      </c>
      <c r="X193" s="2">
        <v>7.3761526660000003</v>
      </c>
      <c r="Y193" s="2">
        <v>7.4702085619999998</v>
      </c>
      <c r="Z193" s="2">
        <v>9.214491743</v>
      </c>
      <c r="AA193" s="2">
        <v>0.20960696200000001</v>
      </c>
      <c r="AB193">
        <v>-9.4616072058387717E-3</v>
      </c>
      <c r="AC193">
        <v>-8.0642840106457808E-3</v>
      </c>
      <c r="AD193">
        <v>-3.9851663065027408E-3</v>
      </c>
      <c r="AE193">
        <v>-3.160498318250494E-3</v>
      </c>
      <c r="AF193">
        <v>-2.1409702554825894E-3</v>
      </c>
      <c r="AG193">
        <v>-1.7525891216484554E-2</v>
      </c>
      <c r="AH193">
        <v>-2.1511057522987296E-2</v>
      </c>
      <c r="AI193">
        <v>-2.4671555841237789E-2</v>
      </c>
      <c r="AJ193">
        <v>-2.6812526096720378E-2</v>
      </c>
      <c r="AK193">
        <v>-1.2049450317148522E-2</v>
      </c>
      <c r="AL193">
        <v>-1.5209948635399016E-2</v>
      </c>
      <c r="AM193">
        <v>-1.7350918890881604E-2</v>
      </c>
      <c r="AN193">
        <v>-7.1456646247532347E-3</v>
      </c>
      <c r="AO193">
        <v>-9.2866348802358237E-3</v>
      </c>
      <c r="AP193">
        <v>-5.3014685737330838E-3</v>
      </c>
      <c r="AQ193">
        <v>-3.2390680176451227E-3</v>
      </c>
      <c r="AR193">
        <v>-4.234399907740577E-3</v>
      </c>
      <c r="AS193">
        <v>-2.3986052635160033E-2</v>
      </c>
      <c r="AT193">
        <v>6.730523797111844E-3</v>
      </c>
      <c r="AU193">
        <v>3.8484437120727102</v>
      </c>
      <c r="AV193" s="5">
        <v>101.7476873</v>
      </c>
      <c r="AW193" s="6">
        <v>149.76666666666668</v>
      </c>
      <c r="AX193" s="6">
        <f t="shared" si="8"/>
        <v>5.009078527408005</v>
      </c>
      <c r="AY193" s="5">
        <f t="shared" si="10"/>
        <v>2.3214350872166278</v>
      </c>
      <c r="AZ193" s="5">
        <f t="shared" si="9"/>
        <v>2.9585646457833725</v>
      </c>
      <c r="BA193" s="5">
        <f>$C193-AY194</f>
        <v>2.3528328836709456</v>
      </c>
      <c r="BB193">
        <v>1.154533</v>
      </c>
      <c r="BC193">
        <v>2.4209500889502871E-4</v>
      </c>
      <c r="BD193">
        <v>9.2066669460000004</v>
      </c>
      <c r="BE193" s="5">
        <f>BD193-AY193</f>
        <v>6.8852318587833725</v>
      </c>
      <c r="BF193" s="5">
        <f>BD193-AY194</f>
        <v>6.2795000966709456</v>
      </c>
    </row>
    <row r="194" spans="1:58" x14ac:dyDescent="0.25">
      <c r="A194" t="s">
        <v>204</v>
      </c>
      <c r="B194">
        <v>0</v>
      </c>
      <c r="C194">
        <v>5.7366666789999998</v>
      </c>
      <c r="D194">
        <v>0</v>
      </c>
      <c r="E194">
        <v>0.38600000699999998</v>
      </c>
      <c r="F194">
        <v>4.3797239856112062</v>
      </c>
      <c r="G194">
        <v>4.2684659224507158</v>
      </c>
      <c r="H194">
        <v>4.2797447424103714</v>
      </c>
      <c r="I194">
        <v>4.0553784833134348</v>
      </c>
      <c r="J194">
        <v>5.448860117047289</v>
      </c>
      <c r="K194">
        <v>9.5273482603584788E-5</v>
      </c>
      <c r="L194">
        <v>193</v>
      </c>
      <c r="M194">
        <v>37249</v>
      </c>
      <c r="N194">
        <v>0</v>
      </c>
      <c r="O194" s="4">
        <v>4.2843173292678332</v>
      </c>
      <c r="P194" s="4">
        <v>4.2821234230293435</v>
      </c>
      <c r="Q194" s="4">
        <v>3.8086826700535568</v>
      </c>
      <c r="R194">
        <v>5.617053601676014E-3</v>
      </c>
      <c r="S194" s="5">
        <v>0.35599999999999998</v>
      </c>
      <c r="T194" s="5">
        <v>-1.9079999999999999</v>
      </c>
      <c r="U194">
        <f t="shared" si="11"/>
        <v>3.5599999999999998E-3</v>
      </c>
      <c r="V194">
        <f t="shared" si="12"/>
        <v>-1.908E-2</v>
      </c>
      <c r="W194" s="1">
        <v>882798403748151</v>
      </c>
      <c r="X194" s="2">
        <v>7.3810552429999996</v>
      </c>
      <c r="Y194" s="2">
        <v>7.4757526700000003</v>
      </c>
      <c r="Z194" s="2">
        <v>9.2179017129999998</v>
      </c>
      <c r="AA194" s="2">
        <v>0.51027719599999999</v>
      </c>
      <c r="AB194">
        <v>5.3272152477911519E-3</v>
      </c>
      <c r="AC194">
        <v>-1.9453585767521472E-3</v>
      </c>
      <c r="AD194">
        <v>-3.9498029531219152E-3</v>
      </c>
      <c r="AE194">
        <v>-3.9258155338062232E-3</v>
      </c>
      <c r="AF194">
        <v>-3.9626812953303498E-4</v>
      </c>
      <c r="AG194">
        <v>3.3818566710390047E-3</v>
      </c>
      <c r="AH194">
        <v>-5.6794628208291058E-4</v>
      </c>
      <c r="AI194">
        <v>-4.4937618158891338E-3</v>
      </c>
      <c r="AJ194">
        <v>-4.8900299454221691E-3</v>
      </c>
      <c r="AK194">
        <v>-5.8951615298740625E-3</v>
      </c>
      <c r="AL194">
        <v>-9.8209770636802848E-3</v>
      </c>
      <c r="AM194">
        <v>-1.021724519321332E-2</v>
      </c>
      <c r="AN194">
        <v>-7.8756184869281376E-3</v>
      </c>
      <c r="AO194">
        <v>-8.2718866164611729E-3</v>
      </c>
      <c r="AP194">
        <v>-4.3220836633392585E-3</v>
      </c>
      <c r="AQ194">
        <v>1.2505030948791723E-3</v>
      </c>
      <c r="AR194">
        <v>-5.3434218344446116E-4</v>
      </c>
      <c r="AS194">
        <v>-2.2735549540280862E-2</v>
      </c>
      <c r="AT194">
        <v>6.1961816136673828E-3</v>
      </c>
      <c r="AU194">
        <v>3.8752819211537202</v>
      </c>
      <c r="AV194" s="5">
        <v>102.33154089999999</v>
      </c>
      <c r="AW194" s="6">
        <v>150.86666666666667</v>
      </c>
      <c r="AX194" s="6">
        <f t="shared" ref="AX194:AX249" si="13">LN(AW194)</f>
        <v>5.0163964445313276</v>
      </c>
      <c r="AY194" s="5">
        <f t="shared" si="10"/>
        <v>2.9271668493290548</v>
      </c>
      <c r="AZ194" s="5">
        <f t="shared" si="9"/>
        <v>2.809499829670945</v>
      </c>
      <c r="BA194" s="5">
        <f>$C194-AY195</f>
        <v>2.4799647854323625</v>
      </c>
      <c r="BB194">
        <v>1.1992750000000001</v>
      </c>
      <c r="BC194">
        <v>1.2856481661033411E-3</v>
      </c>
      <c r="BD194">
        <v>8.8766670229999995</v>
      </c>
      <c r="BE194" s="5">
        <f>BD194-AY194</f>
        <v>5.9495001736709447</v>
      </c>
      <c r="BF194" s="5">
        <f>BD194-AY195</f>
        <v>5.6199651294323623</v>
      </c>
    </row>
    <row r="195" spans="1:58" x14ac:dyDescent="0.25">
      <c r="A195" t="s">
        <v>205</v>
      </c>
      <c r="B195">
        <v>0</v>
      </c>
      <c r="C195">
        <v>5.5966668129999997</v>
      </c>
      <c r="D195">
        <v>0</v>
      </c>
      <c r="E195">
        <v>0.38600000699999998</v>
      </c>
      <c r="F195">
        <v>4.3830635968427245</v>
      </c>
      <c r="G195">
        <v>4.2706061276361797</v>
      </c>
      <c r="H195">
        <v>4.2876151612494739</v>
      </c>
      <c r="I195">
        <v>4.0515762303711629</v>
      </c>
      <c r="J195">
        <v>5.4498617959102837</v>
      </c>
      <c r="K195">
        <v>4.2686195458467059E-4</v>
      </c>
      <c r="L195">
        <v>194</v>
      </c>
      <c r="M195">
        <v>37636</v>
      </c>
      <c r="N195">
        <v>0</v>
      </c>
      <c r="O195" s="4">
        <v>4.2892120881845734</v>
      </c>
      <c r="P195" s="4">
        <v>4.2911167593140389</v>
      </c>
      <c r="Q195" s="4">
        <v>3.8188106237059674</v>
      </c>
      <c r="R195">
        <v>-2.019201059580266E-3</v>
      </c>
      <c r="S195" s="5">
        <v>1.333</v>
      </c>
      <c r="T195" s="5">
        <v>-1.55</v>
      </c>
      <c r="U195">
        <f t="shared" si="11"/>
        <v>1.333E-2</v>
      </c>
      <c r="V195">
        <f t="shared" si="12"/>
        <v>-1.55E-2</v>
      </c>
      <c r="W195" s="1">
        <v>8836712536384780</v>
      </c>
      <c r="X195" s="2">
        <v>7.3884148400000003</v>
      </c>
      <c r="Y195" s="2">
        <v>7.4835530979999998</v>
      </c>
      <c r="Z195" s="2">
        <v>9.2213891090000004</v>
      </c>
      <c r="AA195" s="2">
        <v>1.4794639009999999</v>
      </c>
      <c r="AB195">
        <v>4.9897787104189904E-4</v>
      </c>
      <c r="AC195">
        <v>-2.7655710381346188E-3</v>
      </c>
      <c r="AD195">
        <v>-2.8074009000551578E-3</v>
      </c>
      <c r="AE195">
        <v>-2.3996757719228928E-3</v>
      </c>
      <c r="AF195">
        <v>-1.4049461903820277E-3</v>
      </c>
      <c r="AG195">
        <v>-2.2665931670927198E-3</v>
      </c>
      <c r="AH195">
        <v>-5.0739940671478776E-3</v>
      </c>
      <c r="AI195">
        <v>-7.47366983907077E-3</v>
      </c>
      <c r="AJ195">
        <v>-8.8786160294527967E-3</v>
      </c>
      <c r="AK195">
        <v>-5.5729719381897771E-3</v>
      </c>
      <c r="AL195">
        <v>-7.9726477101126694E-3</v>
      </c>
      <c r="AM195">
        <v>-9.3775939004946962E-3</v>
      </c>
      <c r="AN195">
        <v>-5.207076671978051E-3</v>
      </c>
      <c r="AO195">
        <v>-6.6120228623600787E-3</v>
      </c>
      <c r="AP195">
        <v>-3.8046219623049204E-3</v>
      </c>
      <c r="AQ195">
        <v>2.3026465487383605E-3</v>
      </c>
      <c r="AR195">
        <v>2.9923890634850348E-4</v>
      </c>
      <c r="AS195">
        <v>-2.0432902991542504E-2</v>
      </c>
      <c r="AT195">
        <v>6.4954205200158863E-3</v>
      </c>
      <c r="AU195">
        <v>3.91750602230834</v>
      </c>
      <c r="AV195" s="5">
        <v>102.7848809</v>
      </c>
      <c r="AW195" s="6">
        <v>152.1</v>
      </c>
      <c r="AX195" s="6">
        <f t="shared" si="13"/>
        <v>5.0245381992652467</v>
      </c>
      <c r="AY195" s="5">
        <f t="shared" si="10"/>
        <v>3.2567018935676373</v>
      </c>
      <c r="AZ195" s="5">
        <f t="shared" ref="AZ195:AZ249" si="14">$C195-AY195</f>
        <v>2.3399649194323624</v>
      </c>
      <c r="BA195" s="5">
        <f>$C195-AY196</f>
        <v>3.5855138168208223</v>
      </c>
      <c r="BB195">
        <v>1.2610619999999999</v>
      </c>
      <c r="BC195">
        <v>6.0579324820200754E-4</v>
      </c>
      <c r="BD195">
        <v>8.2333335880000007</v>
      </c>
      <c r="BE195" s="5">
        <f>BD195-AY195</f>
        <v>4.9766316944323634</v>
      </c>
      <c r="BF195" s="5">
        <f>BD195-AY196</f>
        <v>6.2221805918208233</v>
      </c>
    </row>
    <row r="196" spans="1:58" x14ac:dyDescent="0.25">
      <c r="A196" t="s">
        <v>206</v>
      </c>
      <c r="B196">
        <v>0</v>
      </c>
      <c r="C196">
        <v>5.3666667940000004</v>
      </c>
      <c r="D196">
        <v>0</v>
      </c>
      <c r="E196">
        <v>0.38600000699999998</v>
      </c>
      <c r="F196">
        <v>4.3808634584466297</v>
      </c>
      <c r="G196">
        <v>4.2789828777014121</v>
      </c>
      <c r="H196">
        <v>4.2937625216107049</v>
      </c>
      <c r="I196">
        <v>4.0646925889736059</v>
      </c>
      <c r="J196">
        <v>5.4579629218572556</v>
      </c>
      <c r="K196">
        <v>2.7452717936285466E-3</v>
      </c>
      <c r="L196">
        <v>195</v>
      </c>
      <c r="M196">
        <v>38025</v>
      </c>
      <c r="N196">
        <v>0</v>
      </c>
      <c r="O196" s="4">
        <v>4.2927581669156991</v>
      </c>
      <c r="P196" s="4">
        <v>4.2982237413548523</v>
      </c>
      <c r="Q196" s="4">
        <v>3.846652137986478</v>
      </c>
      <c r="R196">
        <v>-4.0590099246629848E-3</v>
      </c>
      <c r="S196" s="5">
        <v>1.139</v>
      </c>
      <c r="T196" s="5">
        <v>1.9359999999999999</v>
      </c>
      <c r="U196">
        <f t="shared" si="11"/>
        <v>1.1390000000000001E-2</v>
      </c>
      <c r="V196">
        <f t="shared" si="12"/>
        <v>1.9359999999999999E-2</v>
      </c>
      <c r="W196" s="1">
        <v>884573405771117</v>
      </c>
      <c r="X196" s="2">
        <v>7.3835018699999999</v>
      </c>
      <c r="Y196" s="2">
        <v>7.4929818389999996</v>
      </c>
      <c r="Z196" s="2">
        <v>9.2299174839999996</v>
      </c>
      <c r="AA196" s="2">
        <v>0.67219520099999996</v>
      </c>
      <c r="AB196">
        <v>-2.4234765139062105E-3</v>
      </c>
      <c r="AC196">
        <v>-3.8009202483096399E-3</v>
      </c>
      <c r="AD196">
        <v>-4.9707434389774695E-3</v>
      </c>
      <c r="AE196">
        <v>-4.6878813138027985E-3</v>
      </c>
      <c r="AF196">
        <v>-2.1257389148663223E-3</v>
      </c>
      <c r="AG196">
        <v>-6.2243967622158504E-3</v>
      </c>
      <c r="AH196">
        <v>-1.119514020119332E-2</v>
      </c>
      <c r="AI196">
        <v>-1.5883021514996119E-2</v>
      </c>
      <c r="AJ196">
        <v>-1.8008760429862443E-2</v>
      </c>
      <c r="AK196">
        <v>-8.7716636872871099E-3</v>
      </c>
      <c r="AL196">
        <v>-1.3459545001089909E-2</v>
      </c>
      <c r="AM196">
        <v>-1.5585283915956231E-2</v>
      </c>
      <c r="AN196">
        <v>-9.658624752780268E-3</v>
      </c>
      <c r="AO196">
        <v>-1.178436366764659E-2</v>
      </c>
      <c r="AP196">
        <v>-6.8136202286691212E-3</v>
      </c>
      <c r="AQ196">
        <v>-3.5645870153090588E-3</v>
      </c>
      <c r="AR196">
        <v>-6.8475221387298306E-3</v>
      </c>
      <c r="AS196">
        <v>-2.3997490006851564E-2</v>
      </c>
      <c r="AT196">
        <v>-3.5210161871394429E-4</v>
      </c>
      <c r="AU196">
        <v>3.9176486078761301</v>
      </c>
      <c r="AV196" s="5">
        <v>103.2674214</v>
      </c>
      <c r="AW196" s="6">
        <v>152.86666666666667</v>
      </c>
      <c r="AX196" s="6">
        <f t="shared" si="13"/>
        <v>5.0295660817556946</v>
      </c>
      <c r="AY196" s="5">
        <f t="shared" ref="AY196:AY249" si="15">400*(AX196-AX195)</f>
        <v>2.0111529961791774</v>
      </c>
      <c r="AZ196" s="5">
        <f t="shared" si="14"/>
        <v>3.3555137978208229</v>
      </c>
      <c r="BA196" s="5">
        <f>$C196-AY197</f>
        <v>3.1920392784577736</v>
      </c>
      <c r="BB196">
        <v>1.2795749999999999</v>
      </c>
      <c r="BC196">
        <v>-3.3601191681775452E-4</v>
      </c>
      <c r="BD196">
        <v>8.0533332820000005</v>
      </c>
      <c r="BE196" s="5">
        <f>BD196-AY196</f>
        <v>6.0421802858208231</v>
      </c>
      <c r="BF196" s="5">
        <f>BD196-AY197</f>
        <v>5.8787057664577738</v>
      </c>
    </row>
    <row r="197" spans="1:58" x14ac:dyDescent="0.25">
      <c r="A197" t="s">
        <v>207</v>
      </c>
      <c r="B197">
        <v>0</v>
      </c>
      <c r="C197">
        <v>5.2600002290000001</v>
      </c>
      <c r="D197">
        <v>0</v>
      </c>
      <c r="E197">
        <v>0.38600000699999998</v>
      </c>
      <c r="F197">
        <v>4.3696123958910356</v>
      </c>
      <c r="G197">
        <v>4.2859286446285445</v>
      </c>
      <c r="H197">
        <v>4.2992618041020725</v>
      </c>
      <c r="I197">
        <v>4.0853206354574567</v>
      </c>
      <c r="J197">
        <v>5.4565383229777957</v>
      </c>
      <c r="K197">
        <v>8.9246130080045168E-3</v>
      </c>
      <c r="L197">
        <v>196</v>
      </c>
      <c r="M197">
        <v>38416</v>
      </c>
      <c r="N197">
        <v>0</v>
      </c>
      <c r="O197" s="4">
        <v>4.2979110607962774</v>
      </c>
      <c r="P197" s="4">
        <v>4.3038623699544978</v>
      </c>
      <c r="Q197" s="4">
        <v>3.8638616435211275</v>
      </c>
      <c r="R197">
        <v>-3.4468180709960161E-2</v>
      </c>
      <c r="S197" s="5">
        <v>0.73799999999999999</v>
      </c>
      <c r="T197" s="5">
        <v>-4.7889999999999997</v>
      </c>
      <c r="U197">
        <f t="shared" si="11"/>
        <v>7.3800000000000003E-3</v>
      </c>
      <c r="V197">
        <f t="shared" si="12"/>
        <v>-4.7889999999999995E-2</v>
      </c>
      <c r="W197" s="1">
        <v>8852685519512440</v>
      </c>
      <c r="X197" s="2">
        <v>7.3763555749999998</v>
      </c>
      <c r="Y197" s="2">
        <v>7.511513302</v>
      </c>
      <c r="Z197" s="2">
        <v>9.2369920400000005</v>
      </c>
      <c r="AA197" s="2">
        <v>-8.4678653000000007E-2</v>
      </c>
      <c r="AB197">
        <v>-1.2516088480200567E-2</v>
      </c>
      <c r="AC197">
        <v>-5.3231443408471657E-3</v>
      </c>
      <c r="AD197">
        <v>-5.715472067480961E-3</v>
      </c>
      <c r="AE197">
        <v>-3.3371121206480191E-3</v>
      </c>
      <c r="AF197">
        <v>-3.6783037299601461E-3</v>
      </c>
      <c r="AG197">
        <v>-1.7839232821047733E-2</v>
      </c>
      <c r="AH197">
        <v>-2.3554704888528694E-2</v>
      </c>
      <c r="AI197">
        <v>-2.6891817009176713E-2</v>
      </c>
      <c r="AJ197">
        <v>-3.0570120739136859E-2</v>
      </c>
      <c r="AK197">
        <v>-1.1038616408328126E-2</v>
      </c>
      <c r="AL197">
        <v>-1.4375728528976145E-2</v>
      </c>
      <c r="AM197">
        <v>-1.805403225893629E-2</v>
      </c>
      <c r="AN197">
        <v>-9.0525841881289801E-3</v>
      </c>
      <c r="AO197">
        <v>-1.2730887918089125E-2</v>
      </c>
      <c r="AP197">
        <v>-7.0154158506081652E-3</v>
      </c>
      <c r="AQ197">
        <v>-1.3799916555478579E-3</v>
      </c>
      <c r="AR197">
        <v>-2.5913648613295551E-3</v>
      </c>
      <c r="AS197">
        <v>-2.537748166239942E-2</v>
      </c>
      <c r="AT197">
        <v>-2.9434664800434994E-3</v>
      </c>
      <c r="AU197">
        <v>3.93417551440043</v>
      </c>
      <c r="AV197" s="5">
        <v>103.7911105</v>
      </c>
      <c r="AW197" s="6">
        <v>153.69999999999999</v>
      </c>
      <c r="AX197" s="6">
        <f t="shared" si="13"/>
        <v>5.0350026505445502</v>
      </c>
      <c r="AY197" s="5">
        <f t="shared" si="15"/>
        <v>2.1746275155422268</v>
      </c>
      <c r="AZ197" s="5">
        <f t="shared" si="14"/>
        <v>3.0853727134577733</v>
      </c>
      <c r="BA197" s="5">
        <f>$C197-AY198</f>
        <v>1.719007656260346</v>
      </c>
      <c r="BB197">
        <v>1.347521</v>
      </c>
      <c r="BC197">
        <v>8.7830104846364559E-4</v>
      </c>
      <c r="BD197">
        <v>7.6399998660000001</v>
      </c>
      <c r="BE197" s="5">
        <f>BD197-AY197</f>
        <v>5.4653723504577734</v>
      </c>
      <c r="BF197" s="5">
        <f>BD197-AY198</f>
        <v>4.0990072932603461</v>
      </c>
    </row>
    <row r="198" spans="1:58" x14ac:dyDescent="0.25">
      <c r="A198" t="s">
        <v>208</v>
      </c>
      <c r="B198">
        <v>0</v>
      </c>
      <c r="C198">
        <v>4.9299998279999997</v>
      </c>
      <c r="D198">
        <v>0</v>
      </c>
      <c r="E198">
        <v>0.38499999000000001</v>
      </c>
      <c r="F198">
        <v>4.3759959868165303</v>
      </c>
      <c r="G198">
        <v>4.2927581669156991</v>
      </c>
      <c r="H198">
        <v>4.3081001318805221</v>
      </c>
      <c r="I198">
        <v>4.1102835260236033</v>
      </c>
      <c r="J198">
        <v>5.4512830588405237</v>
      </c>
      <c r="K198">
        <v>1.3774309636243817E-2</v>
      </c>
      <c r="L198">
        <v>197</v>
      </c>
      <c r="M198">
        <v>38809</v>
      </c>
      <c r="N198">
        <v>0</v>
      </c>
      <c r="O198" s="4">
        <v>4.304362346317383</v>
      </c>
      <c r="P198" s="4">
        <v>4.313600566809118</v>
      </c>
      <c r="Q198" s="4">
        <v>3.8746741392756561</v>
      </c>
      <c r="R198">
        <v>2.5939755222027808E-2</v>
      </c>
      <c r="S198" s="5">
        <v>0.55000000000000004</v>
      </c>
      <c r="T198" s="5">
        <v>1.2529999999999999</v>
      </c>
      <c r="U198">
        <f t="shared" si="11"/>
        <v>5.5000000000000005E-3</v>
      </c>
      <c r="V198">
        <f t="shared" si="12"/>
        <v>1.2529999999999999E-2</v>
      </c>
      <c r="W198" s="1">
        <v>8861866138674080</v>
      </c>
      <c r="X198" s="2">
        <v>7.3838954990000003</v>
      </c>
      <c r="Y198" s="2">
        <v>7.5218306200000002</v>
      </c>
      <c r="Z198" s="2">
        <v>9.2435236659999997</v>
      </c>
      <c r="AA198" s="2">
        <v>1.5064739739999999</v>
      </c>
      <c r="AB198">
        <v>-3.7708863801046871E-3</v>
      </c>
      <c r="AC198">
        <v>-2.5809656151655736E-3</v>
      </c>
      <c r="AD198">
        <v>-3.4826252986313198E-3</v>
      </c>
      <c r="AE198">
        <v>-4.0228140949654066E-3</v>
      </c>
      <c r="AF198">
        <v>-2.2398481132915567E-3</v>
      </c>
      <c r="AG198">
        <v>-6.3518519952702607E-3</v>
      </c>
      <c r="AH198">
        <v>-9.8344772939015813E-3</v>
      </c>
      <c r="AI198">
        <v>-1.3857291388866988E-2</v>
      </c>
      <c r="AJ198">
        <v>-1.6097139502158544E-2</v>
      </c>
      <c r="AK198">
        <v>-6.063590913796893E-3</v>
      </c>
      <c r="AL198">
        <v>-1.00864050087623E-2</v>
      </c>
      <c r="AM198">
        <v>-1.2326253122053855E-2</v>
      </c>
      <c r="AN198">
        <v>-7.5054393935967264E-3</v>
      </c>
      <c r="AO198">
        <v>-9.7452875068882831E-3</v>
      </c>
      <c r="AP198">
        <v>-6.2626622082569633E-3</v>
      </c>
      <c r="AQ198">
        <v>2.9889932743320871E-3</v>
      </c>
      <c r="AR198">
        <v>2.6444829093268257E-3</v>
      </c>
      <c r="AS198">
        <v>-2.2388488388067333E-2</v>
      </c>
      <c r="AT198">
        <v>-2.9898357071667363E-4</v>
      </c>
      <c r="AU198">
        <v>3.9265857754618398</v>
      </c>
      <c r="AV198" s="5">
        <v>104.3926307</v>
      </c>
      <c r="AW198" s="6">
        <v>155.06666666666666</v>
      </c>
      <c r="AX198" s="6">
        <f t="shared" si="13"/>
        <v>5.0438551319763993</v>
      </c>
      <c r="AY198" s="5">
        <f t="shared" si="15"/>
        <v>3.5409925727396541</v>
      </c>
      <c r="AZ198" s="5">
        <f t="shared" si="14"/>
        <v>1.3890072552603456</v>
      </c>
      <c r="BA198" s="5">
        <f>$C198-AY199</f>
        <v>1.505321374075443</v>
      </c>
      <c r="BB198">
        <v>1.3387389999999999</v>
      </c>
      <c r="BC198">
        <v>1.052780391265805E-3</v>
      </c>
      <c r="BD198">
        <v>7.7100000380000004</v>
      </c>
      <c r="BE198" s="5">
        <f>BD198-AY198</f>
        <v>4.1690074652603464</v>
      </c>
      <c r="BF198" s="5">
        <f>BD198-AY199</f>
        <v>4.2853215840754437</v>
      </c>
    </row>
    <row r="199" spans="1:58" x14ac:dyDescent="0.25">
      <c r="A199" t="s">
        <v>209</v>
      </c>
      <c r="B199">
        <v>0</v>
      </c>
      <c r="C199">
        <v>5.0199999809999998</v>
      </c>
      <c r="D199">
        <v>0</v>
      </c>
      <c r="E199">
        <v>0.38499999000000001</v>
      </c>
      <c r="F199">
        <v>4.3902551870871909</v>
      </c>
      <c r="G199">
        <v>4.3098859568961991</v>
      </c>
      <c r="H199">
        <v>4.3163815485857491</v>
      </c>
      <c r="I199">
        <v>4.1422931024841994</v>
      </c>
      <c r="J199">
        <v>5.4616769426034608</v>
      </c>
      <c r="K199">
        <v>1.9044496786546863E-2</v>
      </c>
      <c r="L199">
        <v>198</v>
      </c>
      <c r="M199">
        <v>39204</v>
      </c>
      <c r="N199">
        <v>0</v>
      </c>
      <c r="O199" s="4">
        <v>4.317128048720754</v>
      </c>
      <c r="P199" s="4">
        <v>4.3202310150070042</v>
      </c>
      <c r="Q199" s="4">
        <v>3.9059848121758125</v>
      </c>
      <c r="R199">
        <v>1.6735299587447225E-2</v>
      </c>
      <c r="S199" s="5">
        <v>1.1439999999999999</v>
      </c>
      <c r="T199" s="5">
        <v>5.95</v>
      </c>
      <c r="U199">
        <f t="shared" si="11"/>
        <v>1.1439999999999999E-2</v>
      </c>
      <c r="V199">
        <f t="shared" si="12"/>
        <v>5.9500000000000004E-2</v>
      </c>
      <c r="W199" s="1">
        <v>8872566528632340</v>
      </c>
      <c r="X199" s="2">
        <v>7.3953634880000001</v>
      </c>
      <c r="Y199" s="2">
        <v>7.5510124669999996</v>
      </c>
      <c r="Z199" s="2">
        <v>9.2608338470000007</v>
      </c>
      <c r="AA199" s="2">
        <v>0.54436234800000005</v>
      </c>
      <c r="AB199">
        <v>-5.9000343753854234E-3</v>
      </c>
      <c r="AC199">
        <v>-3.639387103917621E-3</v>
      </c>
      <c r="AD199">
        <v>-6.3195106033298101E-3</v>
      </c>
      <c r="AE199">
        <v>-3.9058652689132568E-3</v>
      </c>
      <c r="AF199">
        <v>-3.6730928508483577E-3</v>
      </c>
      <c r="AG199">
        <v>-9.5394214793030445E-3</v>
      </c>
      <c r="AH199">
        <v>-1.5858932082632855E-2</v>
      </c>
      <c r="AI199">
        <v>-1.9764797351546112E-2</v>
      </c>
      <c r="AJ199">
        <v>-2.3437890202394469E-2</v>
      </c>
      <c r="AK199">
        <v>-9.958897707247432E-3</v>
      </c>
      <c r="AL199">
        <v>-1.386476297616069E-2</v>
      </c>
      <c r="AM199">
        <v>-1.7537855827009046E-2</v>
      </c>
      <c r="AN199">
        <v>-1.0225375872243068E-2</v>
      </c>
      <c r="AO199">
        <v>-1.3898468723091426E-2</v>
      </c>
      <c r="AP199">
        <v>-7.578958119761614E-3</v>
      </c>
      <c r="AQ199">
        <v>-2.4534583136507056E-3</v>
      </c>
      <c r="AR199">
        <v>-4.1194754692724066E-3</v>
      </c>
      <c r="AS199">
        <v>-2.4841946701718038E-2</v>
      </c>
      <c r="AT199">
        <v>-4.4184590399890802E-3</v>
      </c>
      <c r="AU199">
        <v>3.9224874304905399</v>
      </c>
      <c r="AV199" s="5">
        <v>104.7936371</v>
      </c>
      <c r="AW199" s="6">
        <v>156.4</v>
      </c>
      <c r="AX199" s="6">
        <f t="shared" si="13"/>
        <v>5.0524168281112107</v>
      </c>
      <c r="AY199" s="5">
        <f t="shared" si="15"/>
        <v>3.4246784539245567</v>
      </c>
      <c r="AZ199" s="5">
        <f t="shared" si="14"/>
        <v>1.5953215270754431</v>
      </c>
      <c r="BA199" s="5">
        <f>$C199-AY200</f>
        <v>2.7248071997912451</v>
      </c>
      <c r="BB199">
        <v>1.352509</v>
      </c>
      <c r="BC199">
        <v>3.8281866393857951E-4</v>
      </c>
      <c r="BD199">
        <v>8.2966661449999997</v>
      </c>
      <c r="BE199" s="5">
        <f>BD199-AY199</f>
        <v>4.8719876910754429</v>
      </c>
      <c r="BF199" s="5">
        <f>BD199-AY200</f>
        <v>6.001473363791245</v>
      </c>
    </row>
    <row r="200" spans="1:58" x14ac:dyDescent="0.25">
      <c r="A200" t="s">
        <v>210</v>
      </c>
      <c r="B200">
        <v>0</v>
      </c>
      <c r="C200">
        <v>5.0966668129999997</v>
      </c>
      <c r="D200">
        <v>0</v>
      </c>
      <c r="E200">
        <v>0.38499999000000001</v>
      </c>
      <c r="F200">
        <v>4.389287709152085</v>
      </c>
      <c r="G200">
        <v>4.3185542117183084</v>
      </c>
      <c r="H200">
        <v>4.3221840062864949</v>
      </c>
      <c r="I200">
        <v>4.165160215876246</v>
      </c>
      <c r="J200">
        <v>5.4697085707576969</v>
      </c>
      <c r="K200">
        <v>2.5635592574411649E-2</v>
      </c>
      <c r="L200">
        <v>199</v>
      </c>
      <c r="M200">
        <v>39601</v>
      </c>
      <c r="N200">
        <v>0</v>
      </c>
      <c r="O200" s="4">
        <v>4.324212123296066</v>
      </c>
      <c r="P200" s="4">
        <v>4.3255620976927549</v>
      </c>
      <c r="Q200" s="4">
        <v>3.9130424855816117</v>
      </c>
      <c r="R200">
        <v>-1.4151488382043324E-2</v>
      </c>
      <c r="S200" s="5">
        <v>0.63100000000000001</v>
      </c>
      <c r="T200" s="5">
        <v>-1.97</v>
      </c>
      <c r="U200">
        <f t="shared" si="11"/>
        <v>6.3099999999999996E-3</v>
      </c>
      <c r="V200">
        <f t="shared" si="12"/>
        <v>-1.9699999999999999E-2</v>
      </c>
      <c r="W200" s="1">
        <v>8878602470682670</v>
      </c>
      <c r="X200" s="2">
        <v>7.3980624419999996</v>
      </c>
      <c r="Y200" s="2">
        <v>7.5649264990000002</v>
      </c>
      <c r="Z200" s="2">
        <v>9.2700422150000001</v>
      </c>
      <c r="AA200" s="2">
        <v>0.95022631700000004</v>
      </c>
      <c r="AB200">
        <v>-6.9632217725623894E-3</v>
      </c>
      <c r="AC200">
        <v>-4.7715346837274904E-3</v>
      </c>
      <c r="AD200">
        <v>-3.6243371451143702E-3</v>
      </c>
      <c r="AE200">
        <v>-3.410583036735625E-3</v>
      </c>
      <c r="AF200">
        <v>-3.7430633900839365E-3</v>
      </c>
      <c r="AG200">
        <v>-1.173475645628988E-2</v>
      </c>
      <c r="AH200">
        <v>-1.535909360140425E-2</v>
      </c>
      <c r="AI200">
        <v>-1.8769676638139873E-2</v>
      </c>
      <c r="AJ200">
        <v>-2.2512740028223809E-2</v>
      </c>
      <c r="AK200">
        <v>-8.3958718288418607E-3</v>
      </c>
      <c r="AL200">
        <v>-1.1806454865577486E-2</v>
      </c>
      <c r="AM200">
        <v>-1.5549518255661423E-2</v>
      </c>
      <c r="AN200">
        <v>-7.0349201818499952E-3</v>
      </c>
      <c r="AO200">
        <v>-1.0777983571933932E-2</v>
      </c>
      <c r="AP200">
        <v>-7.1536464268195619E-3</v>
      </c>
      <c r="AQ200">
        <v>1.8295040434012071E-3</v>
      </c>
      <c r="AR200">
        <v>2.0920138575139403E-3</v>
      </c>
      <c r="AS200">
        <v>-2.3012442658316833E-2</v>
      </c>
      <c r="AT200">
        <v>-2.3264451824751399E-3</v>
      </c>
      <c r="AU200">
        <v>3.9310947126005198</v>
      </c>
      <c r="AV200" s="5">
        <v>105.12386789999999</v>
      </c>
      <c r="AW200" s="6">
        <v>157.30000000000001</v>
      </c>
      <c r="AX200" s="6">
        <f t="shared" si="13"/>
        <v>5.0581548100642326</v>
      </c>
      <c r="AY200" s="5">
        <f t="shared" si="15"/>
        <v>2.2951927812087547</v>
      </c>
      <c r="AZ200" s="5">
        <f t="shared" si="14"/>
        <v>2.801474031791245</v>
      </c>
      <c r="BA200" s="5">
        <f>$C200-AY201</f>
        <v>1.6363646133688841</v>
      </c>
      <c r="BB200">
        <v>1.4037189999999999</v>
      </c>
      <c r="BC200">
        <v>2.0588175839420832E-4</v>
      </c>
      <c r="BD200">
        <v>8.2933340070000003</v>
      </c>
      <c r="BE200" s="5">
        <f>BD200-AY200</f>
        <v>5.9981412257912456</v>
      </c>
      <c r="BF200" s="5">
        <f>BD200-AY201</f>
        <v>4.8330318073688847</v>
      </c>
    </row>
    <row r="201" spans="1:58" x14ac:dyDescent="0.25">
      <c r="A201" t="s">
        <v>211</v>
      </c>
      <c r="B201">
        <v>0</v>
      </c>
      <c r="C201">
        <v>4.9766664509999998</v>
      </c>
      <c r="D201">
        <v>0</v>
      </c>
      <c r="E201">
        <v>0.38499999000000001</v>
      </c>
      <c r="F201">
        <v>4.3977277248999656</v>
      </c>
      <c r="G201">
        <v>4.3294035090842238</v>
      </c>
      <c r="H201">
        <v>4.3286593726804998</v>
      </c>
      <c r="I201">
        <v>4.1817294805475891</v>
      </c>
      <c r="J201">
        <v>5.47994701736358</v>
      </c>
      <c r="K201">
        <v>2.4439680903972492E-2</v>
      </c>
      <c r="L201">
        <v>200</v>
      </c>
      <c r="M201">
        <v>40000</v>
      </c>
      <c r="N201">
        <v>0</v>
      </c>
      <c r="O201" s="4">
        <v>4.3322847677790426</v>
      </c>
      <c r="P201" s="4">
        <v>4.3314304656590163</v>
      </c>
      <c r="Q201" s="4">
        <v>3.9323745016760436</v>
      </c>
      <c r="R201">
        <v>1.8833502626322213E-3</v>
      </c>
      <c r="S201" s="5">
        <v>0.54400000000000004</v>
      </c>
      <c r="T201" s="5">
        <v>0.14699999999999999</v>
      </c>
      <c r="U201">
        <f t="shared" si="11"/>
        <v>5.4400000000000004E-3</v>
      </c>
      <c r="V201">
        <f t="shared" si="12"/>
        <v>1.47E-3</v>
      </c>
      <c r="W201" s="1">
        <v>8886536077087000</v>
      </c>
      <c r="X201" s="2">
        <v>7.4077131400000003</v>
      </c>
      <c r="Y201" s="2">
        <v>7.598816169</v>
      </c>
      <c r="Z201" s="2">
        <v>9.2805564950000008</v>
      </c>
      <c r="AA201" s="2">
        <v>1.708114846</v>
      </c>
      <c r="AB201">
        <v>-4.4446015044340504E-3</v>
      </c>
      <c r="AC201">
        <v>-2.8234963296377064E-3</v>
      </c>
      <c r="AD201">
        <v>-3.4668835894068302E-3</v>
      </c>
      <c r="AE201">
        <v>-3.7279508937220168E-3</v>
      </c>
      <c r="AF201">
        <v>-1.8840618582405657E-3</v>
      </c>
      <c r="AG201">
        <v>-7.2680978340717572E-3</v>
      </c>
      <c r="AH201">
        <v>-1.0734981423478587E-2</v>
      </c>
      <c r="AI201">
        <v>-1.4462932317200604E-2</v>
      </c>
      <c r="AJ201">
        <v>-1.6346994175441169E-2</v>
      </c>
      <c r="AK201">
        <v>-6.2903799190445371E-3</v>
      </c>
      <c r="AL201">
        <v>-1.0018330812766554E-2</v>
      </c>
      <c r="AM201">
        <v>-1.1902392671007119E-2</v>
      </c>
      <c r="AN201">
        <v>-7.1948344831288466E-3</v>
      </c>
      <c r="AO201">
        <v>-9.0788963413694114E-3</v>
      </c>
      <c r="AP201">
        <v>-5.612012751962582E-3</v>
      </c>
      <c r="AQ201">
        <v>7.4454026280545808E-4</v>
      </c>
      <c r="AR201">
        <v>7.5965275916737782E-4</v>
      </c>
      <c r="AS201">
        <v>-2.2267902395511373E-2</v>
      </c>
      <c r="AT201">
        <v>-1.5667924233077621E-3</v>
      </c>
      <c r="AU201">
        <v>3.95114803704864</v>
      </c>
      <c r="AV201" s="5">
        <v>105.7062675</v>
      </c>
      <c r="AW201" s="6">
        <v>158.66666666666666</v>
      </c>
      <c r="AX201" s="6">
        <f t="shared" si="13"/>
        <v>5.0668055655633104</v>
      </c>
      <c r="AY201" s="5">
        <f t="shared" si="15"/>
        <v>3.4603021996311156</v>
      </c>
      <c r="AZ201" s="5">
        <f t="shared" si="14"/>
        <v>1.5163642513688842</v>
      </c>
      <c r="BA201" s="5">
        <f>$C201-AY202</f>
        <v>2.5470852041427179</v>
      </c>
      <c r="BB201">
        <v>1.3869860000000001</v>
      </c>
      <c r="BC201">
        <v>-7.2268970723575812E-4</v>
      </c>
      <c r="BD201">
        <v>7.9166665079999996</v>
      </c>
      <c r="BE201" s="5">
        <f>BD201-AY201</f>
        <v>4.456364308368884</v>
      </c>
      <c r="BF201" s="5">
        <f>BD201-AY202</f>
        <v>5.4870852611427177</v>
      </c>
    </row>
    <row r="202" spans="1:58" x14ac:dyDescent="0.25">
      <c r="A202" t="s">
        <v>212</v>
      </c>
      <c r="B202">
        <v>0</v>
      </c>
      <c r="C202">
        <v>5.0599999430000002</v>
      </c>
      <c r="D202">
        <v>0</v>
      </c>
      <c r="E202">
        <v>0.38600000699999998</v>
      </c>
      <c r="F202">
        <v>4.3995103990136997</v>
      </c>
      <c r="G202">
        <v>4.3370684939152513</v>
      </c>
      <c r="H202">
        <v>4.3362164632185571</v>
      </c>
      <c r="I202">
        <v>4.2010741402861651</v>
      </c>
      <c r="J202">
        <v>5.4862854516536244</v>
      </c>
      <c r="K202">
        <v>2.3796022605598103E-2</v>
      </c>
      <c r="L202">
        <v>201</v>
      </c>
      <c r="M202">
        <v>40401</v>
      </c>
      <c r="N202">
        <v>0</v>
      </c>
      <c r="O202" s="4">
        <v>4.3383490042036401</v>
      </c>
      <c r="P202" s="4">
        <v>4.3395235403969226</v>
      </c>
      <c r="Q202" s="4">
        <v>3.9591164929602294</v>
      </c>
      <c r="R202">
        <v>-1.0727966589962945E-2</v>
      </c>
      <c r="S202" s="5">
        <v>0.78900000000000003</v>
      </c>
      <c r="T202" s="5">
        <v>-1.2909999999999999</v>
      </c>
      <c r="U202">
        <f t="shared" si="11"/>
        <v>7.8900000000000012E-3</v>
      </c>
      <c r="V202">
        <f t="shared" si="12"/>
        <v>-1.291E-2</v>
      </c>
      <c r="W202" s="1">
        <v>8897021808287360</v>
      </c>
      <c r="X202" s="2">
        <v>7.4101187030000002</v>
      </c>
      <c r="Y202" s="2">
        <v>7.6032026259999999</v>
      </c>
      <c r="Z202" s="2">
        <v>9.2881436510000004</v>
      </c>
      <c r="AA202" s="2">
        <v>1.9242171320000001</v>
      </c>
      <c r="AB202">
        <v>-8.3852059047524209E-4</v>
      </c>
      <c r="AC202">
        <v>-1.8725550978411665E-3</v>
      </c>
      <c r="AD202">
        <v>-2.0552425463736118E-3</v>
      </c>
      <c r="AE202">
        <v>-1.7450254797813005E-3</v>
      </c>
      <c r="AF202">
        <v>-2.6060847958456717E-3</v>
      </c>
      <c r="AG202">
        <v>-2.7110756883164085E-3</v>
      </c>
      <c r="AH202">
        <v>-4.7663182346900203E-3</v>
      </c>
      <c r="AI202">
        <v>-6.5113437144713208E-3</v>
      </c>
      <c r="AJ202">
        <v>-9.1174285103169921E-3</v>
      </c>
      <c r="AK202">
        <v>-3.9277976442147781E-3</v>
      </c>
      <c r="AL202">
        <v>-5.6728231239960786E-3</v>
      </c>
      <c r="AM202">
        <v>-8.2789079198417499E-3</v>
      </c>
      <c r="AN202">
        <v>-3.8002680261549123E-3</v>
      </c>
      <c r="AO202">
        <v>-6.4063528220005845E-3</v>
      </c>
      <c r="AP202">
        <v>-4.3511102756269727E-3</v>
      </c>
      <c r="AQ202">
        <v>3.2670368389140685E-3</v>
      </c>
      <c r="AR202">
        <v>3.4060732173733328E-3</v>
      </c>
      <c r="AS202">
        <v>-1.9000865556597305E-2</v>
      </c>
      <c r="AT202">
        <v>1.8392807940655707E-3</v>
      </c>
      <c r="AU202">
        <v>3.9388646571849</v>
      </c>
      <c r="AV202" s="5">
        <v>106.38965520000001</v>
      </c>
      <c r="AW202" s="6">
        <v>159.63333333333333</v>
      </c>
      <c r="AX202" s="6">
        <f t="shared" si="13"/>
        <v>5.0728795186804536</v>
      </c>
      <c r="AY202" s="5">
        <f t="shared" si="15"/>
        <v>2.4295812468572819</v>
      </c>
      <c r="AZ202" s="5">
        <f t="shared" si="14"/>
        <v>2.6304186961427183</v>
      </c>
      <c r="BA202" s="5">
        <f>$C202-AY203</f>
        <v>4.1422813216508052</v>
      </c>
      <c r="BB202">
        <v>1.364363</v>
      </c>
      <c r="BC202">
        <v>7.6454109587798923E-4</v>
      </c>
      <c r="BD202">
        <v>8.0699996949999999</v>
      </c>
      <c r="BE202" s="5">
        <f>BD202-AY202</f>
        <v>5.640418448142718</v>
      </c>
      <c r="BF202" s="5">
        <f>BD202-AY203</f>
        <v>7.1522810736508049</v>
      </c>
    </row>
    <row r="203" spans="1:58" x14ac:dyDescent="0.25">
      <c r="A203" t="s">
        <v>213</v>
      </c>
      <c r="B203">
        <v>0</v>
      </c>
      <c r="C203">
        <v>5.046666622</v>
      </c>
      <c r="D203">
        <v>0</v>
      </c>
      <c r="E203">
        <v>0.38600000699999998</v>
      </c>
      <c r="F203">
        <v>4.4081328817583607</v>
      </c>
      <c r="G203">
        <v>4.3517864753613189</v>
      </c>
      <c r="H203">
        <v>4.3413025643953498</v>
      </c>
      <c r="I203">
        <v>4.2223859121029843</v>
      </c>
      <c r="J203">
        <v>5.4918961556029409</v>
      </c>
      <c r="K203">
        <v>3.028394065062092E-2</v>
      </c>
      <c r="L203">
        <v>202</v>
      </c>
      <c r="M203">
        <v>40804</v>
      </c>
      <c r="N203">
        <v>0</v>
      </c>
      <c r="O203" s="4">
        <v>4.3388972927738099</v>
      </c>
      <c r="P203" s="4">
        <v>4.3462828699238374</v>
      </c>
      <c r="Q203" s="4">
        <v>3.9558867690745334</v>
      </c>
      <c r="R203">
        <v>1.943761784442587E-2</v>
      </c>
      <c r="S203" s="5">
        <v>0.96</v>
      </c>
      <c r="T203" s="5">
        <v>2.87</v>
      </c>
      <c r="U203">
        <f t="shared" si="11"/>
        <v>9.5999999999999992E-3</v>
      </c>
      <c r="V203">
        <f t="shared" si="12"/>
        <v>2.87E-2</v>
      </c>
      <c r="W203" s="1">
        <v>8901513652121930</v>
      </c>
      <c r="X203" s="2">
        <v>7.4214123680000004</v>
      </c>
      <c r="Y203" s="2">
        <v>7.6272894149999999</v>
      </c>
      <c r="Z203" s="2">
        <v>9.3031200799999993</v>
      </c>
      <c r="AA203" s="2">
        <v>0.64412456299999998</v>
      </c>
      <c r="AB203">
        <v>-1.1722557339425748E-3</v>
      </c>
      <c r="AC203">
        <v>-1.8019538049803216E-3</v>
      </c>
      <c r="AD203">
        <v>-3.5566338859210826E-3</v>
      </c>
      <c r="AE203">
        <v>-4.8745202544785782E-3</v>
      </c>
      <c r="AF203">
        <v>-3.8364122304557482E-3</v>
      </c>
      <c r="AG203">
        <v>-2.9742095389228961E-3</v>
      </c>
      <c r="AH203">
        <v>-6.5308434248439792E-3</v>
      </c>
      <c r="AI203">
        <v>-1.1405363679322558E-2</v>
      </c>
      <c r="AJ203">
        <v>-1.5241775909778307E-2</v>
      </c>
      <c r="AK203">
        <v>-5.3585876909014044E-3</v>
      </c>
      <c r="AL203">
        <v>-1.0233107945379983E-2</v>
      </c>
      <c r="AM203">
        <v>-1.406952017583573E-2</v>
      </c>
      <c r="AN203">
        <v>-8.4311541403996604E-3</v>
      </c>
      <c r="AO203">
        <v>-1.2267566370855409E-2</v>
      </c>
      <c r="AP203">
        <v>-8.7109324849343264E-3</v>
      </c>
      <c r="AQ203">
        <v>-1.5583196647464921E-3</v>
      </c>
      <c r="AR203">
        <v>-3.8267551233793981E-3</v>
      </c>
      <c r="AS203">
        <v>-2.0559185221343798E-2</v>
      </c>
      <c r="AT203">
        <v>-1.9874743293138274E-3</v>
      </c>
      <c r="AU203">
        <v>3.9467803769034</v>
      </c>
      <c r="AV203" s="5">
        <v>106.6364327</v>
      </c>
      <c r="AW203" s="6">
        <v>160</v>
      </c>
      <c r="AX203" s="6">
        <f t="shared" si="13"/>
        <v>5.0751738152338266</v>
      </c>
      <c r="AY203" s="5">
        <f t="shared" si="15"/>
        <v>0.91771862134919502</v>
      </c>
      <c r="AZ203" s="5">
        <f t="shared" si="14"/>
        <v>4.128948000650805</v>
      </c>
      <c r="BA203" s="5">
        <f>$C203-AY204</f>
        <v>3.0516500175842332</v>
      </c>
      <c r="BB203">
        <v>1.35002</v>
      </c>
      <c r="BC203">
        <v>-1.6909536661411789E-3</v>
      </c>
      <c r="BD203">
        <v>8.1866664890000003</v>
      </c>
      <c r="BE203" s="5">
        <f>BD203-AY203</f>
        <v>7.2689478676508053</v>
      </c>
      <c r="BF203" s="5">
        <f>BD203-AY204</f>
        <v>6.1916498845842334</v>
      </c>
    </row>
    <row r="204" spans="1:58" x14ac:dyDescent="0.25">
      <c r="A204" t="s">
        <v>214</v>
      </c>
      <c r="B204">
        <v>0</v>
      </c>
      <c r="C204">
        <v>5.046666622</v>
      </c>
      <c r="D204">
        <v>0</v>
      </c>
      <c r="E204">
        <v>0.38600000699999998</v>
      </c>
      <c r="F204">
        <v>4.4092526209274734</v>
      </c>
      <c r="G204">
        <v>4.3642571890623048</v>
      </c>
      <c r="H204">
        <v>4.3542454527662011</v>
      </c>
      <c r="I204">
        <v>4.2601838067015549</v>
      </c>
      <c r="J204">
        <v>5.4977049664677837</v>
      </c>
      <c r="K204">
        <v>3.8801070337209011E-2</v>
      </c>
      <c r="L204">
        <v>203</v>
      </c>
      <c r="M204">
        <v>41209</v>
      </c>
      <c r="N204">
        <v>0</v>
      </c>
      <c r="O204" s="4">
        <v>4.3548609666011124</v>
      </c>
      <c r="P204" s="4">
        <v>4.3581052870821821</v>
      </c>
      <c r="Q204" s="4">
        <v>3.9995026061172823</v>
      </c>
      <c r="R204">
        <v>-1.4633970784744465E-3</v>
      </c>
      <c r="S204" s="5">
        <v>0.88</v>
      </c>
      <c r="T204" s="5">
        <v>0.1</v>
      </c>
      <c r="U204">
        <f t="shared" si="11"/>
        <v>8.8000000000000005E-3</v>
      </c>
      <c r="V204">
        <f t="shared" si="12"/>
        <v>1E-3</v>
      </c>
      <c r="W204" s="1">
        <v>891840767842081</v>
      </c>
      <c r="X204" s="2">
        <v>7.4228163589999996</v>
      </c>
      <c r="Y204" s="2">
        <v>7.6549023920000003</v>
      </c>
      <c r="Z204" s="2">
        <v>9.3157808840000005</v>
      </c>
      <c r="AA204" s="2">
        <v>0.33477283699999999</v>
      </c>
      <c r="AB204">
        <v>-5.473998458448974E-3</v>
      </c>
      <c r="AC204">
        <v>-3.4366374039432662E-3</v>
      </c>
      <c r="AD204">
        <v>-1.8633279644854604E-3</v>
      </c>
      <c r="AE204">
        <v>-7.2909393230310721E-4</v>
      </c>
      <c r="AF204">
        <v>-1.7036548318780185E-3</v>
      </c>
      <c r="AG204">
        <v>-8.910635862392241E-3</v>
      </c>
      <c r="AH204">
        <v>-1.0773963826877701E-2</v>
      </c>
      <c r="AI204">
        <v>-1.1503057759180809E-2</v>
      </c>
      <c r="AJ204">
        <v>-1.3206712591058828E-2</v>
      </c>
      <c r="AK204">
        <v>-5.299965368428727E-3</v>
      </c>
      <c r="AL204">
        <v>-6.0290593007318342E-3</v>
      </c>
      <c r="AM204">
        <v>-7.7327141326098527E-3</v>
      </c>
      <c r="AN204">
        <v>-2.5924218967885676E-3</v>
      </c>
      <c r="AO204">
        <v>-4.2960767286665865E-3</v>
      </c>
      <c r="AP204">
        <v>-2.4327487641811257E-3</v>
      </c>
      <c r="AQ204">
        <v>3.1311887719709334E-3</v>
      </c>
      <c r="AR204">
        <v>6.2385070701235753E-3</v>
      </c>
      <c r="AS204">
        <v>-1.7427996449372866E-2</v>
      </c>
      <c r="AT204">
        <v>4.2510327408097478E-3</v>
      </c>
      <c r="AU204">
        <v>3.9618729789834699</v>
      </c>
      <c r="AV204" s="5">
        <v>107.0084361</v>
      </c>
      <c r="AW204" s="6">
        <v>160.80000000000001</v>
      </c>
      <c r="AX204" s="6">
        <f t="shared" si="13"/>
        <v>5.080161356744866</v>
      </c>
      <c r="AY204" s="5">
        <f t="shared" si="15"/>
        <v>1.9950166044157669</v>
      </c>
      <c r="AZ204" s="5">
        <f t="shared" si="14"/>
        <v>3.0516500175842332</v>
      </c>
      <c r="BA204" s="5">
        <f>$C204-AY205</f>
        <v>2.8965684121970803</v>
      </c>
      <c r="BB204">
        <v>1.3417619999999999</v>
      </c>
      <c r="BC204">
        <v>-1.4031948734008577E-3</v>
      </c>
      <c r="BD204">
        <v>7.7566666599999996</v>
      </c>
      <c r="BE204" s="5">
        <f>BD204-AY204</f>
        <v>5.7616500555842327</v>
      </c>
      <c r="BF204" s="5">
        <f>BD204-AY205</f>
        <v>5.6065684501970798</v>
      </c>
    </row>
    <row r="205" spans="1:58" x14ac:dyDescent="0.25">
      <c r="A205" t="s">
        <v>215</v>
      </c>
      <c r="B205">
        <v>0</v>
      </c>
      <c r="C205">
        <v>5.0899996759999997</v>
      </c>
      <c r="D205">
        <v>0</v>
      </c>
      <c r="E205">
        <v>0.38600000699999998</v>
      </c>
      <c r="F205">
        <v>4.4109055942242579</v>
      </c>
      <c r="G205">
        <v>4.3719005383748728</v>
      </c>
      <c r="H205">
        <v>4.3635414790706157</v>
      </c>
      <c r="I205">
        <v>4.2687319487888917</v>
      </c>
      <c r="J205">
        <v>5.5023841070975088</v>
      </c>
      <c r="K205">
        <v>5.4661037378313758E-2</v>
      </c>
      <c r="L205">
        <v>204</v>
      </c>
      <c r="M205">
        <v>41616</v>
      </c>
      <c r="N205">
        <v>0</v>
      </c>
      <c r="O205" s="4">
        <v>4.3618749464630282</v>
      </c>
      <c r="P205" s="4">
        <v>4.3682319236516927</v>
      </c>
      <c r="Q205" s="4">
        <v>4.024708626871039</v>
      </c>
      <c r="R205">
        <v>2.0666937735913798E-3</v>
      </c>
      <c r="S205" s="5">
        <v>0.83299999999999996</v>
      </c>
      <c r="T205" s="5">
        <v>0.747</v>
      </c>
      <c r="U205">
        <f t="shared" si="11"/>
        <v>8.3299999999999989E-3</v>
      </c>
      <c r="V205">
        <f t="shared" si="12"/>
        <v>7.4700000000000001E-3</v>
      </c>
      <c r="W205" s="1">
        <v>8930288978367520</v>
      </c>
      <c r="X205" s="2">
        <v>7.4282562910000003</v>
      </c>
      <c r="Y205" s="2">
        <v>7.667100875</v>
      </c>
      <c r="Z205" s="2">
        <v>9.3235083299999992</v>
      </c>
      <c r="AA205" s="2">
        <v>1.5382657820000001</v>
      </c>
      <c r="AB205">
        <v>-7.4877722122200746E-4</v>
      </c>
      <c r="AC205">
        <v>-1.1945373985418823E-3</v>
      </c>
      <c r="AD205">
        <v>-1.4327442362012917E-4</v>
      </c>
      <c r="AE205">
        <v>-1.2855829195644111E-3</v>
      </c>
      <c r="AF205">
        <v>-1.61708276624008E-3</v>
      </c>
      <c r="AG205">
        <v>-1.9433146197638898E-3</v>
      </c>
      <c r="AH205">
        <v>-2.0865890433840188E-3</v>
      </c>
      <c r="AI205">
        <v>-3.37217196294843E-3</v>
      </c>
      <c r="AJ205">
        <v>-4.9892547291885102E-3</v>
      </c>
      <c r="AK205">
        <v>-1.3378118221620114E-3</v>
      </c>
      <c r="AL205">
        <v>-2.6233947417264227E-3</v>
      </c>
      <c r="AM205">
        <v>-4.2404775079665025E-3</v>
      </c>
      <c r="AN205">
        <v>-1.4288573431845402E-3</v>
      </c>
      <c r="AO205">
        <v>-3.04594010942462E-3</v>
      </c>
      <c r="AP205">
        <v>-2.9026656858044909E-3</v>
      </c>
      <c r="AQ205">
        <v>1.2546100746265562E-3</v>
      </c>
      <c r="AR205">
        <v>1.6726819869401638E-3</v>
      </c>
      <c r="AS205">
        <v>-1.6173386374746312E-2</v>
      </c>
      <c r="AT205">
        <v>5.9237147277499116E-3</v>
      </c>
      <c r="AU205">
        <v>3.9850485285285702</v>
      </c>
      <c r="AV205" s="5">
        <v>107.4033386</v>
      </c>
      <c r="AW205" s="6">
        <v>161.66666666666666</v>
      </c>
      <c r="AX205" s="6">
        <f t="shared" si="13"/>
        <v>5.0855366022693733</v>
      </c>
      <c r="AY205" s="5">
        <f t="shared" si="15"/>
        <v>2.1500982098029198</v>
      </c>
      <c r="AZ205" s="5">
        <f t="shared" si="14"/>
        <v>2.9399014661970799</v>
      </c>
      <c r="BA205" s="5">
        <f>$C205-AY206</f>
        <v>4.2661064907958721</v>
      </c>
      <c r="BB205">
        <v>1.240435</v>
      </c>
      <c r="BC205">
        <v>-3.2092332379365777E-4</v>
      </c>
      <c r="BD205">
        <v>7.4366669649999997</v>
      </c>
      <c r="BE205" s="5">
        <f>BD205-AY205</f>
        <v>5.2865687551970799</v>
      </c>
      <c r="BF205" s="5">
        <f>BD205-AY206</f>
        <v>6.6127737797958721</v>
      </c>
    </row>
    <row r="206" spans="1:58" x14ac:dyDescent="0.25">
      <c r="A206" t="s">
        <v>216</v>
      </c>
      <c r="B206">
        <v>0</v>
      </c>
      <c r="C206">
        <v>5.0533332819999996</v>
      </c>
      <c r="D206">
        <v>0</v>
      </c>
      <c r="E206">
        <v>0.38699999499999999</v>
      </c>
      <c r="F206">
        <v>4.4048760862715266</v>
      </c>
      <c r="G206">
        <v>4.3813013717342866</v>
      </c>
      <c r="H206">
        <v>4.3736321184819325</v>
      </c>
      <c r="I206">
        <v>4.2984004306064891</v>
      </c>
      <c r="J206">
        <v>5.5092344786385974</v>
      </c>
      <c r="K206">
        <v>7.2613065979327332E-2</v>
      </c>
      <c r="L206">
        <v>205</v>
      </c>
      <c r="M206">
        <v>42025</v>
      </c>
      <c r="N206">
        <v>0</v>
      </c>
      <c r="O206" s="4">
        <v>4.369232639436941</v>
      </c>
      <c r="P206" s="4">
        <v>4.3792979151026241</v>
      </c>
      <c r="Q206" s="4">
        <v>4.0330540937789934</v>
      </c>
      <c r="R206">
        <v>-3.0491847042197213E-2</v>
      </c>
      <c r="S206" s="5">
        <v>1.1739999999999999</v>
      </c>
      <c r="T206" s="5">
        <v>-3.0750000000000002</v>
      </c>
      <c r="U206">
        <f t="shared" si="11"/>
        <v>1.1739999999999999E-2</v>
      </c>
      <c r="V206">
        <f t="shared" si="12"/>
        <v>-3.0750000000000003E-2</v>
      </c>
      <c r="W206" s="1">
        <v>8940353478953310</v>
      </c>
      <c r="X206" s="2">
        <v>7.4217689150000004</v>
      </c>
      <c r="Y206" s="2">
        <v>7.687352873</v>
      </c>
      <c r="Z206" s="2">
        <v>9.3333541479999997</v>
      </c>
      <c r="AA206" s="2">
        <v>1.8257984169999999</v>
      </c>
      <c r="AB206">
        <v>-3.0164239008974416E-3</v>
      </c>
      <c r="AC206">
        <v>2.0124729737368784E-4</v>
      </c>
      <c r="AD206">
        <v>-9.4506973233448522E-5</v>
      </c>
      <c r="AE206">
        <v>-3.4776652053148104E-4</v>
      </c>
      <c r="AF206">
        <v>-2.2885399062484775E-4</v>
      </c>
      <c r="AG206">
        <v>-2.8151766035237535E-3</v>
      </c>
      <c r="AH206">
        <v>-2.909683576757202E-3</v>
      </c>
      <c r="AI206">
        <v>-3.257450097288683E-3</v>
      </c>
      <c r="AJ206">
        <v>-3.4863040879135306E-3</v>
      </c>
      <c r="AK206">
        <v>1.0674032414023932E-4</v>
      </c>
      <c r="AL206">
        <v>-2.4102619639124174E-4</v>
      </c>
      <c r="AM206">
        <v>-4.6988018701608946E-4</v>
      </c>
      <c r="AN206">
        <v>-4.4227349376492958E-4</v>
      </c>
      <c r="AO206">
        <v>-6.711274843897773E-4</v>
      </c>
      <c r="AP206">
        <v>-5.7662051115632876E-4</v>
      </c>
      <c r="AQ206">
        <v>1.5355976673247795E-3</v>
      </c>
      <c r="AR206">
        <v>2.8049139130333781E-3</v>
      </c>
      <c r="AS206">
        <v>-1.4637788707421532E-2</v>
      </c>
      <c r="AT206">
        <v>8.7286286407832897E-3</v>
      </c>
      <c r="AU206">
        <v>3.99032282987912</v>
      </c>
      <c r="AV206" s="5">
        <v>107.5854995</v>
      </c>
      <c r="AW206" s="6">
        <v>162</v>
      </c>
      <c r="AX206" s="6">
        <f t="shared" si="13"/>
        <v>5.0875963352323836</v>
      </c>
      <c r="AY206" s="5">
        <f t="shared" si="15"/>
        <v>0.82389318520412758</v>
      </c>
      <c r="AZ206" s="5">
        <f t="shared" si="14"/>
        <v>4.2294400967958721</v>
      </c>
      <c r="BA206" s="5">
        <f>$C206-AY207</f>
        <v>3.7386237993506652</v>
      </c>
      <c r="BB206">
        <v>1.250046</v>
      </c>
      <c r="BC206">
        <v>-1.4550669956118303E-3</v>
      </c>
      <c r="BD206">
        <v>7.2533335689999996</v>
      </c>
      <c r="BE206" s="5">
        <f>BD206-AY206</f>
        <v>6.429440383795872</v>
      </c>
      <c r="BF206" s="5">
        <f>BD206-AY207</f>
        <v>5.9386240863506652</v>
      </c>
    </row>
    <row r="207" spans="1:58" x14ac:dyDescent="0.25">
      <c r="A207" t="s">
        <v>217</v>
      </c>
      <c r="B207">
        <v>0</v>
      </c>
      <c r="C207">
        <v>4.9766664509999998</v>
      </c>
      <c r="D207">
        <v>0</v>
      </c>
      <c r="E207">
        <v>0.38699999499999999</v>
      </c>
      <c r="F207">
        <v>4.4263783922443825</v>
      </c>
      <c r="G207">
        <v>4.3902551870871909</v>
      </c>
      <c r="H207">
        <v>4.3857824516300541</v>
      </c>
      <c r="I207">
        <v>4.332652550056082</v>
      </c>
      <c r="J207">
        <v>5.5132230798558259</v>
      </c>
      <c r="K207">
        <v>8.4841718008111328E-2</v>
      </c>
      <c r="L207">
        <v>206</v>
      </c>
      <c r="M207">
        <v>42436</v>
      </c>
      <c r="N207">
        <v>0</v>
      </c>
      <c r="O207" s="4">
        <v>4.381514003300869</v>
      </c>
      <c r="P207" s="4">
        <v>4.3914198796904769</v>
      </c>
      <c r="Q207" s="4">
        <v>4.0827779258506354</v>
      </c>
      <c r="R207">
        <v>2.6943006066051812E-2</v>
      </c>
      <c r="S207" s="5">
        <v>1.3560000000000001</v>
      </c>
      <c r="T207" s="5">
        <v>2.3730000000000002</v>
      </c>
      <c r="U207">
        <f t="shared" si="11"/>
        <v>1.3560000000000001E-2</v>
      </c>
      <c r="V207">
        <f t="shared" si="12"/>
        <v>2.3730000000000001E-2</v>
      </c>
      <c r="W207" s="1">
        <v>8957809589951190</v>
      </c>
      <c r="X207" s="2">
        <v>7.4467687060000003</v>
      </c>
      <c r="Y207" s="2">
        <v>7.7046684990000003</v>
      </c>
      <c r="Z207" s="2">
        <v>9.3430076409999998</v>
      </c>
      <c r="AA207" s="2">
        <v>1.489335844</v>
      </c>
      <c r="AB207">
        <v>6.0895553753400047E-3</v>
      </c>
      <c r="AC207">
        <v>-1.2551239631361387E-3</v>
      </c>
      <c r="AD207">
        <v>-1.0504520151070091E-3</v>
      </c>
      <c r="AE207">
        <v>-1.4044074070678591E-3</v>
      </c>
      <c r="AF207">
        <v>-7.3157308909648747E-4</v>
      </c>
      <c r="AG207">
        <v>4.8344314122038658E-3</v>
      </c>
      <c r="AH207">
        <v>3.7839793970968569E-3</v>
      </c>
      <c r="AI207">
        <v>2.3795719900289976E-3</v>
      </c>
      <c r="AJ207">
        <v>1.6479989009325101E-3</v>
      </c>
      <c r="AK207">
        <v>-2.3055759782431478E-3</v>
      </c>
      <c r="AL207">
        <v>-3.7099833853110071E-3</v>
      </c>
      <c r="AM207">
        <v>-4.4415564744074943E-3</v>
      </c>
      <c r="AN207">
        <v>-2.4548594221748682E-3</v>
      </c>
      <c r="AO207">
        <v>-3.1864325112713554E-3</v>
      </c>
      <c r="AP207">
        <v>-2.1359804961643466E-3</v>
      </c>
      <c r="AQ207">
        <v>-1.8633024844782182E-3</v>
      </c>
      <c r="AR207">
        <v>-3.03885590092123E-3</v>
      </c>
      <c r="AS207">
        <v>-1.6501091191899749E-2</v>
      </c>
      <c r="AT207">
        <v>5.6897727398620597E-3</v>
      </c>
      <c r="AU207">
        <v>3.9963683439364699</v>
      </c>
      <c r="AV207" s="5">
        <v>107.8414599</v>
      </c>
      <c r="AW207" s="6">
        <v>162.53333333333333</v>
      </c>
      <c r="AX207" s="6">
        <f t="shared" si="13"/>
        <v>5.090883108939007</v>
      </c>
      <c r="AY207" s="5">
        <f t="shared" si="15"/>
        <v>1.3147094826493344</v>
      </c>
      <c r="AZ207" s="5">
        <f t="shared" si="14"/>
        <v>3.6619569683506654</v>
      </c>
      <c r="BA207" s="5">
        <f>$C207-AY208</f>
        <v>2.9310447276459257</v>
      </c>
      <c r="BB207">
        <v>1.224045</v>
      </c>
      <c r="BC207">
        <v>1.1784281208597608E-4</v>
      </c>
      <c r="BD207">
        <v>7.2533335689999996</v>
      </c>
      <c r="BE207" s="5">
        <f>BD207-AY207</f>
        <v>5.9386240863506652</v>
      </c>
      <c r="BF207" s="5">
        <f>BD207-AY208</f>
        <v>5.2077118456459255</v>
      </c>
    </row>
    <row r="208" spans="1:58" x14ac:dyDescent="0.25">
      <c r="A208" t="s">
        <v>218</v>
      </c>
      <c r="B208">
        <v>0</v>
      </c>
      <c r="C208">
        <v>4.8233332630000003</v>
      </c>
      <c r="D208">
        <v>0</v>
      </c>
      <c r="E208">
        <v>0.38699999499999999</v>
      </c>
      <c r="F208">
        <v>4.4355910980036137</v>
      </c>
      <c r="G208">
        <v>4.4033721886932593</v>
      </c>
      <c r="H208">
        <v>4.3966306416466923</v>
      </c>
      <c r="I208">
        <v>4.3515029921235877</v>
      </c>
      <c r="J208">
        <v>5.5146860199810463</v>
      </c>
      <c r="K208">
        <v>9.802144063014756E-2</v>
      </c>
      <c r="L208">
        <v>207</v>
      </c>
      <c r="M208">
        <v>42849</v>
      </c>
      <c r="N208">
        <v>0</v>
      </c>
      <c r="O208" s="4">
        <v>4.3888532800161588</v>
      </c>
      <c r="P208" s="4">
        <v>4.4034945412891222</v>
      </c>
      <c r="Q208" s="4">
        <v>4.1112344548903685</v>
      </c>
      <c r="R208">
        <v>-7.0940351558157078E-3</v>
      </c>
      <c r="S208" s="5">
        <v>1.3089999999999999</v>
      </c>
      <c r="T208" s="5">
        <v>0.12</v>
      </c>
      <c r="U208">
        <f t="shared" si="11"/>
        <v>1.3089999999999999E-2</v>
      </c>
      <c r="V208">
        <f t="shared" si="12"/>
        <v>1.1999999999999999E-3</v>
      </c>
      <c r="W208" s="1">
        <v>8970765563904170</v>
      </c>
      <c r="X208" s="2">
        <v>7.4592637650000002</v>
      </c>
      <c r="Y208" s="2">
        <v>7.7260737859999997</v>
      </c>
      <c r="Z208" s="2">
        <v>9.3560065889999997</v>
      </c>
      <c r="AA208" s="2">
        <v>0.18046266</v>
      </c>
      <c r="AB208">
        <v>-5.8839306573660907E-4</v>
      </c>
      <c r="AC208">
        <v>-3.7429141195562354E-4</v>
      </c>
      <c r="AD208">
        <v>2.6667216785504109E-4</v>
      </c>
      <c r="AE208">
        <v>-2.4703878921357865E-4</v>
      </c>
      <c r="AF208">
        <v>7.6103274165050349E-5</v>
      </c>
      <c r="AG208">
        <v>-9.6268447769223267E-4</v>
      </c>
      <c r="AH208">
        <v>-6.9601230983719158E-4</v>
      </c>
      <c r="AI208">
        <v>-9.4305109905077028E-4</v>
      </c>
      <c r="AJ208">
        <v>-8.6694782488571992E-4</v>
      </c>
      <c r="AK208">
        <v>-1.0761924410058245E-4</v>
      </c>
      <c r="AL208">
        <v>-3.546580333141611E-4</v>
      </c>
      <c r="AM208">
        <v>-2.7855475914911074E-4</v>
      </c>
      <c r="AN208">
        <v>1.9633378641462443E-5</v>
      </c>
      <c r="AO208">
        <v>9.5736652806512792E-5</v>
      </c>
      <c r="AP208">
        <v>-1.7093551504852828E-4</v>
      </c>
      <c r="AQ208">
        <v>2.3472401780742858E-3</v>
      </c>
      <c r="AR208">
        <v>2.8317744779571942E-3</v>
      </c>
      <c r="AS208">
        <v>-1.4153851013825464E-2</v>
      </c>
      <c r="AT208">
        <v>8.5215472178192531E-3</v>
      </c>
      <c r="AU208">
        <v>4.01794305441316</v>
      </c>
      <c r="AV208" s="5">
        <v>108.2544111</v>
      </c>
      <c r="AW208" s="6">
        <v>163.36666666666667</v>
      </c>
      <c r="AX208" s="6">
        <f t="shared" si="13"/>
        <v>5.0959971632473922</v>
      </c>
      <c r="AY208" s="5">
        <f t="shared" si="15"/>
        <v>2.0456217233540741</v>
      </c>
      <c r="AZ208" s="5">
        <f t="shared" si="14"/>
        <v>2.7777115396459262</v>
      </c>
      <c r="BA208" s="5">
        <f>$C208-AY209</f>
        <v>2.9505563050813688</v>
      </c>
      <c r="BB208">
        <v>1.246672</v>
      </c>
      <c r="BC208">
        <v>-1.5679618355113711E-3</v>
      </c>
      <c r="BD208">
        <v>7.126666546</v>
      </c>
      <c r="BE208" s="5">
        <f>BD208-AY208</f>
        <v>5.0810448226459259</v>
      </c>
      <c r="BF208" s="5">
        <f>BD208-AY209</f>
        <v>5.2538895880813685</v>
      </c>
    </row>
    <row r="209" spans="1:58" x14ac:dyDescent="0.25">
      <c r="A209" t="s">
        <v>219</v>
      </c>
      <c r="B209">
        <v>0</v>
      </c>
      <c r="C209">
        <v>4.2533330920000001</v>
      </c>
      <c r="D209">
        <v>0</v>
      </c>
      <c r="E209">
        <v>0.38699999499999999</v>
      </c>
      <c r="F209">
        <v>4.4444966115982831</v>
      </c>
      <c r="G209">
        <v>4.4205259338244911</v>
      </c>
      <c r="H209">
        <v>4.4052843172688467</v>
      </c>
      <c r="I209">
        <v>4.3816140495723532</v>
      </c>
      <c r="J209">
        <v>5.5263131268331662</v>
      </c>
      <c r="K209">
        <v>0.10190653262890423</v>
      </c>
      <c r="L209">
        <v>208</v>
      </c>
      <c r="M209">
        <v>43264</v>
      </c>
      <c r="N209">
        <v>0</v>
      </c>
      <c r="O209" s="4">
        <v>4.4024418194164738</v>
      </c>
      <c r="P209" s="4">
        <v>4.4104318591790488</v>
      </c>
      <c r="Q209" s="4">
        <v>4.168895293486397</v>
      </c>
      <c r="R209">
        <v>1.0125129576406759E-2</v>
      </c>
      <c r="S209" s="5">
        <v>1.2450000000000001</v>
      </c>
      <c r="T209" s="5">
        <v>2.8479999999999999</v>
      </c>
      <c r="U209">
        <f t="shared" si="11"/>
        <v>1.2450000000000001E-2</v>
      </c>
      <c r="V209">
        <f t="shared" si="12"/>
        <v>2.8479999999999998E-2</v>
      </c>
      <c r="W209" s="1">
        <v>8985109142978610</v>
      </c>
      <c r="X209" s="2">
        <v>7.4729911429999998</v>
      </c>
      <c r="Y209" s="2">
        <v>7.7450954239999996</v>
      </c>
      <c r="Z209" s="2">
        <v>9.3722806340000009</v>
      </c>
      <c r="AA209" s="2">
        <v>0.58613879499999999</v>
      </c>
      <c r="AB209">
        <v>2.7488314598723534E-4</v>
      </c>
      <c r="AC209">
        <v>5.6655603429306238E-4</v>
      </c>
      <c r="AD209">
        <v>-5.5616370507003538E-4</v>
      </c>
      <c r="AE209">
        <v>-1.9857850583407697E-4</v>
      </c>
      <c r="AF209">
        <v>-7.3827053146234133E-4</v>
      </c>
      <c r="AG209">
        <v>8.4143918028029767E-4</v>
      </c>
      <c r="AH209">
        <v>2.8527547521026229E-4</v>
      </c>
      <c r="AI209">
        <v>8.6696969376185318E-5</v>
      </c>
      <c r="AJ209">
        <v>-6.5157356208615596E-4</v>
      </c>
      <c r="AK209">
        <v>1.0392329223027005E-5</v>
      </c>
      <c r="AL209">
        <v>-1.8818617661104997E-4</v>
      </c>
      <c r="AM209">
        <v>-9.2645670807339135E-4</v>
      </c>
      <c r="AN209">
        <v>-7.547422109041124E-4</v>
      </c>
      <c r="AO209">
        <v>-1.4930127423664536E-3</v>
      </c>
      <c r="AP209">
        <v>-9.3684903729641836E-4</v>
      </c>
      <c r="AQ209">
        <v>-9.2410494184354372E-6</v>
      </c>
      <c r="AR209">
        <v>-2.8392282941756277E-4</v>
      </c>
      <c r="AS209">
        <v>-1.4163092063243898E-2</v>
      </c>
      <c r="AT209">
        <v>8.23762438840169E-3</v>
      </c>
      <c r="AU209">
        <v>4.0179588657734904</v>
      </c>
      <c r="AV209" s="5">
        <v>108.58190999999999</v>
      </c>
      <c r="AW209" s="6">
        <v>164.13333333333333</v>
      </c>
      <c r="AX209" s="6">
        <f t="shared" si="13"/>
        <v>5.1006791056421887</v>
      </c>
      <c r="AY209" s="5">
        <f t="shared" si="15"/>
        <v>1.8727769579186315</v>
      </c>
      <c r="AZ209" s="5">
        <f t="shared" si="14"/>
        <v>2.3805561340813686</v>
      </c>
      <c r="BA209" s="5">
        <f>$C209-AY210</f>
        <v>2.7937733943157017</v>
      </c>
      <c r="BB209">
        <v>1.138593</v>
      </c>
      <c r="BC209">
        <v>-2.1655103521874984E-4</v>
      </c>
      <c r="BD209">
        <v>7.25</v>
      </c>
      <c r="BE209" s="5">
        <f>BD209-AY209</f>
        <v>5.3772230420813685</v>
      </c>
      <c r="BF209" s="5">
        <f>BD209-AY210</f>
        <v>5.7904403023157016</v>
      </c>
    </row>
    <row r="210" spans="1:58" x14ac:dyDescent="0.25">
      <c r="A210" t="s">
        <v>220</v>
      </c>
      <c r="B210">
        <v>0</v>
      </c>
      <c r="C210">
        <v>4.4066667559999999</v>
      </c>
      <c r="D210">
        <v>0</v>
      </c>
      <c r="E210">
        <v>0.38999998600000002</v>
      </c>
      <c r="F210">
        <v>4.4496035041029467</v>
      </c>
      <c r="G210">
        <v>4.4293991277556932</v>
      </c>
      <c r="H210">
        <v>4.4162294995293534</v>
      </c>
      <c r="I210">
        <v>4.399977057501844</v>
      </c>
      <c r="J210">
        <v>5.5260822231627618</v>
      </c>
      <c r="K210">
        <v>0.11819218240972723</v>
      </c>
      <c r="L210">
        <v>209</v>
      </c>
      <c r="M210">
        <v>43681</v>
      </c>
      <c r="N210">
        <v>1.6615895873719191E-3</v>
      </c>
      <c r="O210" s="4">
        <v>4.4207424126765558</v>
      </c>
      <c r="P210" s="4">
        <v>4.4188526559167904</v>
      </c>
      <c r="Q210" s="4">
        <v>4.1713673298481719</v>
      </c>
      <c r="R210">
        <v>-7.197589342198679E-3</v>
      </c>
      <c r="S210" s="5">
        <v>1.42</v>
      </c>
      <c r="T210" s="5">
        <v>2.9849999999999999</v>
      </c>
      <c r="U210">
        <f t="shared" ref="U210:U249" si="16">S210/100</f>
        <v>1.4199999999999999E-2</v>
      </c>
      <c r="V210">
        <f t="shared" ref="V210:V249" si="17">T210/100</f>
        <v>2.9849999999999998E-2</v>
      </c>
      <c r="W210" s="1">
        <v>8994765108781880</v>
      </c>
      <c r="X210" s="2">
        <v>7.4828760809999997</v>
      </c>
      <c r="Y210" s="2">
        <v>7.7503958209999997</v>
      </c>
      <c r="Z210" s="2">
        <v>9.3815841290000002</v>
      </c>
      <c r="AA210" s="2">
        <v>0.71984082000000005</v>
      </c>
      <c r="AB210">
        <v>-1.9649618978880459E-3</v>
      </c>
      <c r="AC210">
        <v>2.0666536563790612E-3</v>
      </c>
      <c r="AD210">
        <v>1.4143725376575273E-3</v>
      </c>
      <c r="AE210">
        <v>8.8404964962102909E-4</v>
      </c>
      <c r="AF210">
        <v>3.0262476605089467E-3</v>
      </c>
      <c r="AG210">
        <v>1.0169175849101533E-4</v>
      </c>
      <c r="AH210">
        <v>1.5160642961485427E-3</v>
      </c>
      <c r="AI210">
        <v>2.4001139457695718E-3</v>
      </c>
      <c r="AJ210">
        <v>5.426361606278518E-3</v>
      </c>
      <c r="AK210">
        <v>3.4810261940365888E-3</v>
      </c>
      <c r="AL210">
        <v>4.3650758436576181E-3</v>
      </c>
      <c r="AM210">
        <v>7.3913235041665644E-3</v>
      </c>
      <c r="AN210">
        <v>2.2984221872785564E-3</v>
      </c>
      <c r="AO210">
        <v>5.3246698477875032E-3</v>
      </c>
      <c r="AP210">
        <v>3.9102973101299756E-3</v>
      </c>
      <c r="AQ210">
        <v>4.2357684049407016E-3</v>
      </c>
      <c r="AR210">
        <v>5.8580885860240722E-3</v>
      </c>
      <c r="AS210">
        <v>-9.9273236583031967E-3</v>
      </c>
      <c r="AT210">
        <v>1.4095712974425762E-2</v>
      </c>
      <c r="AU210">
        <v>3.9987692289921402</v>
      </c>
      <c r="AV210" s="5">
        <v>109.06641550000001</v>
      </c>
      <c r="AW210" s="6">
        <v>164.73333333333332</v>
      </c>
      <c r="AX210" s="6">
        <f t="shared" si="13"/>
        <v>5.1043280048863995</v>
      </c>
      <c r="AY210" s="5">
        <f t="shared" si="15"/>
        <v>1.4595596976842984</v>
      </c>
      <c r="AZ210" s="5">
        <f t="shared" si="14"/>
        <v>2.9471070583157015</v>
      </c>
      <c r="BA210" s="5">
        <f>$C210-AY211</f>
        <v>1.4230827185490185</v>
      </c>
      <c r="BB210">
        <v>1.1825429999999999</v>
      </c>
      <c r="BC210">
        <v>-9.1356019775498025E-4</v>
      </c>
      <c r="BD210">
        <v>7.4033331870000003</v>
      </c>
      <c r="BE210" s="5">
        <f>BD210-AY210</f>
        <v>5.9437734893157019</v>
      </c>
      <c r="BF210" s="5">
        <f>BD210-AY211</f>
        <v>4.4197491495490189</v>
      </c>
    </row>
    <row r="211" spans="1:58" x14ac:dyDescent="0.25">
      <c r="A211" t="s">
        <v>221</v>
      </c>
      <c r="B211">
        <v>0</v>
      </c>
      <c r="C211">
        <v>4.453333378</v>
      </c>
      <c r="D211">
        <v>0</v>
      </c>
      <c r="E211">
        <v>0.38999998600000002</v>
      </c>
      <c r="F211">
        <v>4.4537657318288586</v>
      </c>
      <c r="G211">
        <v>4.4371893083485974</v>
      </c>
      <c r="H211">
        <v>4.4269695164628837</v>
      </c>
      <c r="I211">
        <v>4.4231205922088428</v>
      </c>
      <c r="J211">
        <v>5.5344245260141038</v>
      </c>
      <c r="K211">
        <v>0.11868946933475856</v>
      </c>
      <c r="L211">
        <v>210</v>
      </c>
      <c r="M211">
        <v>44100</v>
      </c>
      <c r="N211">
        <v>0</v>
      </c>
      <c r="O211" s="4">
        <v>4.430090344563097</v>
      </c>
      <c r="P211" s="4">
        <v>4.430090344563097</v>
      </c>
      <c r="Q211" s="4">
        <v>4.2183452650984758</v>
      </c>
      <c r="R211">
        <v>-2.0795286764619305E-3</v>
      </c>
      <c r="S211" s="5">
        <v>1.8009999999999999</v>
      </c>
      <c r="T211" s="5">
        <v>-3.004</v>
      </c>
      <c r="U211">
        <f t="shared" si="16"/>
        <v>1.8009999999999998E-2</v>
      </c>
      <c r="V211">
        <f t="shared" si="17"/>
        <v>-3.0040000000000001E-2</v>
      </c>
      <c r="W211" s="1">
        <v>9009239828587090</v>
      </c>
      <c r="X211" s="2">
        <v>7.4968678219999996</v>
      </c>
      <c r="Y211" s="2">
        <v>7.7633900970000003</v>
      </c>
      <c r="Z211" s="2">
        <v>9.3899666330000002</v>
      </c>
      <c r="AA211" s="2">
        <v>8.5385531000000001E-2</v>
      </c>
      <c r="AB211">
        <v>3.4483511543349048E-3</v>
      </c>
      <c r="AC211">
        <v>1.9237492093192388E-3</v>
      </c>
      <c r="AD211">
        <v>1.2757653159348934E-3</v>
      </c>
      <c r="AE211">
        <v>1.2734924667048995E-3</v>
      </c>
      <c r="AF211">
        <v>1.2386840136541001E-3</v>
      </c>
      <c r="AG211">
        <v>5.3721003636541436E-3</v>
      </c>
      <c r="AH211">
        <v>6.6478656795890372E-3</v>
      </c>
      <c r="AI211">
        <v>7.9213581462939369E-3</v>
      </c>
      <c r="AJ211">
        <v>9.1600421599480376E-3</v>
      </c>
      <c r="AK211">
        <v>3.1995145252541324E-3</v>
      </c>
      <c r="AL211">
        <v>4.4730069919590321E-3</v>
      </c>
      <c r="AM211">
        <v>5.711691005613132E-3</v>
      </c>
      <c r="AN211">
        <v>2.5492577826397929E-3</v>
      </c>
      <c r="AO211">
        <v>3.7879417962938932E-3</v>
      </c>
      <c r="AP211">
        <v>2.5121764803589996E-3</v>
      </c>
      <c r="AQ211">
        <v>9.0109233797557595E-4</v>
      </c>
      <c r="AR211">
        <v>-8.5166285582847102E-4</v>
      </c>
      <c r="AS211">
        <v>-9.0262313203276212E-3</v>
      </c>
      <c r="AT211">
        <v>1.3244050118597292E-2</v>
      </c>
      <c r="AU211">
        <v>3.9784528345141998</v>
      </c>
      <c r="AV211" s="5">
        <v>109.4502999</v>
      </c>
      <c r="AW211" s="6">
        <v>165.96666666666667</v>
      </c>
      <c r="AX211" s="6">
        <f t="shared" si="13"/>
        <v>5.1117869649800269</v>
      </c>
      <c r="AY211" s="5">
        <f t="shared" si="15"/>
        <v>2.9835840374509814</v>
      </c>
      <c r="AZ211" s="5">
        <f t="shared" si="14"/>
        <v>1.4697493405490185</v>
      </c>
      <c r="BA211" s="5">
        <f>$C211-AY212</f>
        <v>1.4918391097702859</v>
      </c>
      <c r="BB211">
        <v>1.1843619999999999</v>
      </c>
      <c r="BC211">
        <v>2.3678915271182909E-3</v>
      </c>
      <c r="BD211">
        <v>7.7400002480000003</v>
      </c>
      <c r="BE211" s="5">
        <f>BD211-AY211</f>
        <v>4.7564162105490189</v>
      </c>
      <c r="BF211" s="5">
        <f>BD211-AY212</f>
        <v>4.7785059797702862</v>
      </c>
    </row>
    <row r="212" spans="1:58" x14ac:dyDescent="0.25">
      <c r="A212" t="s">
        <v>222</v>
      </c>
      <c r="B212">
        <v>0</v>
      </c>
      <c r="C212">
        <v>4.6500000950000002</v>
      </c>
      <c r="D212">
        <v>0</v>
      </c>
      <c r="E212">
        <v>0.38999998600000002</v>
      </c>
      <c r="F212">
        <v>4.4666090223894503</v>
      </c>
      <c r="G212">
        <v>4.4498254602383165</v>
      </c>
      <c r="H212">
        <v>4.4370165801821271</v>
      </c>
      <c r="I212">
        <v>4.4461158361324831</v>
      </c>
      <c r="J212">
        <v>5.5375980117623929</v>
      </c>
      <c r="K212">
        <v>0.12380943092207185</v>
      </c>
      <c r="L212">
        <v>211</v>
      </c>
      <c r="M212">
        <v>44521</v>
      </c>
      <c r="N212">
        <v>0</v>
      </c>
      <c r="O212" s="4">
        <v>4.4348325344968114</v>
      </c>
      <c r="P212" s="4">
        <v>4.4420275326032428</v>
      </c>
      <c r="Q212" s="4">
        <v>4.2424053074119543</v>
      </c>
      <c r="R212">
        <v>1.8844047317958655E-2</v>
      </c>
      <c r="S212" s="5">
        <v>1.7549999999999999</v>
      </c>
      <c r="T212" s="5">
        <v>1.5489999999999999</v>
      </c>
      <c r="U212">
        <f t="shared" si="16"/>
        <v>1.755E-2</v>
      </c>
      <c r="V212">
        <f t="shared" si="17"/>
        <v>1.5489999999999999E-2</v>
      </c>
      <c r="W212" s="1">
        <v>9020463424967890</v>
      </c>
      <c r="X212" s="2">
        <v>7.5168151849999996</v>
      </c>
      <c r="Y212" s="2">
        <v>7.780732982</v>
      </c>
      <c r="Z212" s="2">
        <v>9.4026205100000002</v>
      </c>
      <c r="AA212" s="2">
        <v>-0.49255877300000001</v>
      </c>
      <c r="AB212">
        <v>4.9119178299326799E-3</v>
      </c>
      <c r="AC212">
        <v>3.4908708785227906E-3</v>
      </c>
      <c r="AD212">
        <v>2.2769758488175879E-3</v>
      </c>
      <c r="AE212">
        <v>7.0239302678711533E-4</v>
      </c>
      <c r="AF212">
        <v>1.6844711875702613E-3</v>
      </c>
      <c r="AG212">
        <v>8.4027887084554709E-3</v>
      </c>
      <c r="AH212">
        <v>1.0679764557273059E-2</v>
      </c>
      <c r="AI212">
        <v>1.1382157584060174E-2</v>
      </c>
      <c r="AJ212">
        <v>1.3066628771630435E-2</v>
      </c>
      <c r="AK212">
        <v>5.767846727340379E-3</v>
      </c>
      <c r="AL212">
        <v>6.470239754127494E-3</v>
      </c>
      <c r="AM212">
        <v>8.1547109416977553E-3</v>
      </c>
      <c r="AN212">
        <v>2.9793688756047034E-3</v>
      </c>
      <c r="AO212">
        <v>4.6638400631749642E-3</v>
      </c>
      <c r="AP212">
        <v>2.3868642143573767E-3</v>
      </c>
      <c r="AQ212">
        <v>3.2185889447005861E-3</v>
      </c>
      <c r="AR212">
        <v>2.6822979578336008E-3</v>
      </c>
      <c r="AS212">
        <v>-5.8076423756270347E-3</v>
      </c>
      <c r="AT212">
        <v>1.5926348076430893E-2</v>
      </c>
      <c r="AU212">
        <v>3.9713330422820601</v>
      </c>
      <c r="AV212" s="5">
        <v>109.857263</v>
      </c>
      <c r="AW212" s="6">
        <v>167.2</v>
      </c>
      <c r="AX212" s="6">
        <f t="shared" si="13"/>
        <v>5.1191907006506012</v>
      </c>
      <c r="AY212" s="5">
        <f t="shared" si="15"/>
        <v>2.9614942682297141</v>
      </c>
      <c r="AZ212" s="5">
        <f t="shared" si="14"/>
        <v>1.6885058267702862</v>
      </c>
      <c r="BA212" s="5">
        <f>$C212-AY213</f>
        <v>1.7102709033390555</v>
      </c>
      <c r="BB212">
        <v>1.060997</v>
      </c>
      <c r="BC212">
        <v>-5.4995987264007309E-4</v>
      </c>
      <c r="BD212">
        <v>8.0999994280000003</v>
      </c>
      <c r="BE212" s="5">
        <f>BD212-AY212</f>
        <v>5.1385051597702862</v>
      </c>
      <c r="BF212" s="5">
        <f>BD212-AY213</f>
        <v>5.1602702363390556</v>
      </c>
    </row>
    <row r="213" spans="1:58" x14ac:dyDescent="0.25">
      <c r="A213" t="s">
        <v>223</v>
      </c>
      <c r="B213">
        <v>0</v>
      </c>
      <c r="C213">
        <v>5.04333353</v>
      </c>
      <c r="D213">
        <v>0</v>
      </c>
      <c r="E213">
        <v>0.38999998600000002</v>
      </c>
      <c r="F213">
        <v>4.4823017415318223</v>
      </c>
      <c r="G213">
        <v>4.4676192974308915</v>
      </c>
      <c r="H213">
        <v>4.4513249725845476</v>
      </c>
      <c r="I213">
        <v>4.4517509052899351</v>
      </c>
      <c r="J213">
        <v>5.5428661818185994</v>
      </c>
      <c r="K213">
        <v>0.14116800291861192</v>
      </c>
      <c r="L213">
        <v>212</v>
      </c>
      <c r="M213">
        <v>44944</v>
      </c>
      <c r="N213">
        <v>0</v>
      </c>
      <c r="O213" s="4">
        <v>4.4551144437810475</v>
      </c>
      <c r="P213" s="4">
        <v>4.4542077516338896</v>
      </c>
      <c r="Q213" s="4">
        <v>4.2547612836280058</v>
      </c>
      <c r="R213">
        <v>1.8489127736402544E-2</v>
      </c>
      <c r="S213" s="5">
        <v>1.968</v>
      </c>
      <c r="T213" s="5">
        <v>6.4340000000000002</v>
      </c>
      <c r="U213">
        <f t="shared" si="16"/>
        <v>1.968E-2</v>
      </c>
      <c r="V213">
        <f t="shared" si="17"/>
        <v>6.4340000000000008E-2</v>
      </c>
      <c r="W213" s="1">
        <v>9035009245094890</v>
      </c>
      <c r="X213" s="2">
        <v>7.5392026840000002</v>
      </c>
      <c r="Y213" s="2">
        <v>7.8070821290000003</v>
      </c>
      <c r="Z213" s="2">
        <v>9.4197743749999994</v>
      </c>
      <c r="AA213" s="2">
        <v>0.113615893</v>
      </c>
      <c r="AB213">
        <v>1.5204944321838938E-3</v>
      </c>
      <c r="AC213">
        <v>3.2424615871517221E-3</v>
      </c>
      <c r="AD213">
        <v>3.6270255359832264E-3</v>
      </c>
      <c r="AE213">
        <v>2.6595300421719133E-3</v>
      </c>
      <c r="AF213">
        <v>2.8007083096179886E-3</v>
      </c>
      <c r="AG213">
        <v>4.7629560193356161E-3</v>
      </c>
      <c r="AH213">
        <v>8.3899815553188425E-3</v>
      </c>
      <c r="AI213">
        <v>1.1049511597490756E-2</v>
      </c>
      <c r="AJ213">
        <v>1.3850219907108744E-2</v>
      </c>
      <c r="AK213">
        <v>6.8694871231349489E-3</v>
      </c>
      <c r="AL213">
        <v>9.5290171653068627E-3</v>
      </c>
      <c r="AM213">
        <v>1.2329725474924851E-2</v>
      </c>
      <c r="AN213">
        <v>6.2865555781551393E-3</v>
      </c>
      <c r="AO213">
        <v>9.0872638877731275E-3</v>
      </c>
      <c r="AP213">
        <v>5.460238351789902E-3</v>
      </c>
      <c r="AQ213">
        <v>3.8901182475302456E-3</v>
      </c>
      <c r="AR213">
        <v>4.8651771021318985E-3</v>
      </c>
      <c r="AS213">
        <v>-1.9175241280967891E-3</v>
      </c>
      <c r="AT213">
        <v>2.0791525178562791E-2</v>
      </c>
      <c r="AU213">
        <v>3.97192335792711</v>
      </c>
      <c r="AV213" s="5">
        <v>110.2445237</v>
      </c>
      <c r="AW213" s="6">
        <v>168.43333333333334</v>
      </c>
      <c r="AX213" s="6">
        <f t="shared" si="13"/>
        <v>5.1265400236297536</v>
      </c>
      <c r="AY213" s="5">
        <f t="shared" si="15"/>
        <v>2.9397291916609447</v>
      </c>
      <c r="AZ213" s="5">
        <f t="shared" si="14"/>
        <v>2.1036043383390552</v>
      </c>
      <c r="BA213" s="5">
        <f>$C213-AY214</f>
        <v>1.1047432211751147</v>
      </c>
      <c r="BB213">
        <v>0.74168900000000004</v>
      </c>
      <c r="BC213">
        <v>-4.795233230369335E-4</v>
      </c>
      <c r="BD213">
        <v>8.2399997710000008</v>
      </c>
      <c r="BE213" s="5">
        <f>BD213-AY213</f>
        <v>5.3002705793390561</v>
      </c>
      <c r="BF213" s="5">
        <f>BD213-AY214</f>
        <v>4.3014094621751156</v>
      </c>
    </row>
    <row r="214" spans="1:58" x14ac:dyDescent="0.25">
      <c r="A214" t="s">
        <v>224</v>
      </c>
      <c r="B214">
        <v>0</v>
      </c>
      <c r="C214">
        <v>5.5199999809999998</v>
      </c>
      <c r="D214">
        <v>1.7</v>
      </c>
      <c r="E214">
        <v>0.39199999000000002</v>
      </c>
      <c r="F214">
        <v>4.474081521757534</v>
      </c>
      <c r="G214">
        <v>4.4702320901346377</v>
      </c>
      <c r="H214">
        <v>4.4601507350739249</v>
      </c>
      <c r="I214">
        <v>4.4805815446430959</v>
      </c>
      <c r="J214">
        <v>5.5493678711152539</v>
      </c>
      <c r="K214">
        <v>0.16929059010518771</v>
      </c>
      <c r="L214">
        <v>213</v>
      </c>
      <c r="M214">
        <v>45369</v>
      </c>
      <c r="N214">
        <v>0</v>
      </c>
      <c r="O214" s="4">
        <v>4.4464440547290129</v>
      </c>
      <c r="P214" s="4">
        <v>4.4692244526156504</v>
      </c>
      <c r="Q214" s="4">
        <v>4.3094828231981692</v>
      </c>
      <c r="R214">
        <v>-4.3621484602988175E-2</v>
      </c>
      <c r="S214" s="5">
        <v>2.17</v>
      </c>
      <c r="T214" s="5">
        <v>-3.3879999999999999</v>
      </c>
      <c r="U214">
        <f t="shared" si="16"/>
        <v>2.1700000000000001E-2</v>
      </c>
      <c r="V214">
        <f t="shared" si="17"/>
        <v>-3.388E-2</v>
      </c>
      <c r="W214" s="1">
        <v>9050254949684660</v>
      </c>
      <c r="X214" s="2">
        <v>7.5365323059999998</v>
      </c>
      <c r="Y214" s="2">
        <v>7.8453416950000001</v>
      </c>
      <c r="Z214" s="2">
        <v>9.4226413549999997</v>
      </c>
      <c r="AA214" s="2">
        <v>-0.34521679799999999</v>
      </c>
      <c r="AB214">
        <v>-6.0153780704423794E-3</v>
      </c>
      <c r="AC214">
        <v>3.2359432275385533E-3</v>
      </c>
      <c r="AD214">
        <v>3.0136512971090245E-3</v>
      </c>
      <c r="AE214">
        <v>4.6483276323721718E-3</v>
      </c>
      <c r="AF214">
        <v>4.3790233525734376E-3</v>
      </c>
      <c r="AG214">
        <v>-2.7794348429038261E-3</v>
      </c>
      <c r="AH214">
        <v>2.3421645420519839E-4</v>
      </c>
      <c r="AI214">
        <v>4.8825440865773702E-3</v>
      </c>
      <c r="AJ214">
        <v>9.2615674391508078E-3</v>
      </c>
      <c r="AK214">
        <v>6.2495945246475778E-3</v>
      </c>
      <c r="AL214">
        <v>1.0897922157019749E-2</v>
      </c>
      <c r="AM214">
        <v>1.5276945509593187E-2</v>
      </c>
      <c r="AN214">
        <v>7.6619789294811967E-3</v>
      </c>
      <c r="AO214">
        <v>1.2041002282054635E-2</v>
      </c>
      <c r="AP214">
        <v>9.0273509849456094E-3</v>
      </c>
      <c r="AQ214">
        <v>-3.6961053507561514E-5</v>
      </c>
      <c r="AR214">
        <v>1.8106582692466212E-3</v>
      </c>
      <c r="AS214">
        <v>-1.9544851816043506E-3</v>
      </c>
      <c r="AT214">
        <v>2.2602183447809412E-2</v>
      </c>
      <c r="AU214">
        <v>3.97657799482807</v>
      </c>
      <c r="AV214" s="5">
        <v>111.12192</v>
      </c>
      <c r="AW214" s="6">
        <v>170.1</v>
      </c>
      <c r="AX214" s="6">
        <f t="shared" si="13"/>
        <v>5.1363864994018158</v>
      </c>
      <c r="AY214" s="5">
        <f t="shared" si="15"/>
        <v>3.9385903088248853</v>
      </c>
      <c r="AZ214" s="5">
        <f t="shared" si="14"/>
        <v>1.5814096721751145</v>
      </c>
      <c r="BA214" s="5">
        <f>$C214-AY215</f>
        <v>2.3968140966218119</v>
      </c>
      <c r="BB214">
        <v>0.63186600000000004</v>
      </c>
      <c r="BC214">
        <v>2.4529786255876292E-4</v>
      </c>
      <c r="BD214">
        <v>8.3299999239999991</v>
      </c>
      <c r="BE214" s="5">
        <f>BD214-AY214</f>
        <v>4.3914096151751139</v>
      </c>
      <c r="BF214" s="5">
        <f>BD214-AY215</f>
        <v>5.2068140396218112</v>
      </c>
    </row>
    <row r="215" spans="1:58" x14ac:dyDescent="0.25">
      <c r="A215" t="s">
        <v>225</v>
      </c>
      <c r="B215">
        <v>0</v>
      </c>
      <c r="C215">
        <v>5.7133331299999996</v>
      </c>
      <c r="D215">
        <v>0</v>
      </c>
      <c r="E215">
        <v>0.39199999000000002</v>
      </c>
      <c r="F215">
        <v>4.4873321488191529</v>
      </c>
      <c r="G215">
        <v>4.489546068190549</v>
      </c>
      <c r="H215">
        <v>4.4738592522619136</v>
      </c>
      <c r="I215">
        <v>4.5054050977985165</v>
      </c>
      <c r="J215">
        <v>5.5515205655335631</v>
      </c>
      <c r="K215">
        <v>0.16874671473920244</v>
      </c>
      <c r="L215">
        <v>214</v>
      </c>
      <c r="M215">
        <v>45796</v>
      </c>
      <c r="N215">
        <v>0</v>
      </c>
      <c r="O215" s="4">
        <v>4.4662184153351747</v>
      </c>
      <c r="P215" s="4">
        <v>4.480774082117712</v>
      </c>
      <c r="Q215" s="4">
        <v>4.2913220826648164</v>
      </c>
      <c r="R215">
        <v>3.6012395963904542E-2</v>
      </c>
      <c r="S215" s="5">
        <v>2.2759999999999998</v>
      </c>
      <c r="T215" s="5">
        <v>3.8159999999999998</v>
      </c>
      <c r="U215">
        <f t="shared" si="16"/>
        <v>2.2759999999999999E-2</v>
      </c>
      <c r="V215">
        <f t="shared" si="17"/>
        <v>3.8159999999999999E-2</v>
      </c>
      <c r="W215" s="1">
        <v>9059867072290660</v>
      </c>
      <c r="X215" s="2">
        <v>7.5506564120000004</v>
      </c>
      <c r="Y215" s="2">
        <v>7.8439747449999997</v>
      </c>
      <c r="Z215" s="2">
        <v>9.4413489130000006</v>
      </c>
      <c r="AA215" s="2">
        <v>-3.727517889</v>
      </c>
      <c r="AB215">
        <v>1.1971544298183442E-2</v>
      </c>
      <c r="AC215">
        <v>3.7969745594184185E-3</v>
      </c>
      <c r="AD215">
        <v>3.9106820649155482E-3</v>
      </c>
      <c r="AE215">
        <v>3.6063345183648876E-3</v>
      </c>
      <c r="AF215">
        <v>5.4244505766341527E-3</v>
      </c>
      <c r="AG215">
        <v>1.576851885760186E-2</v>
      </c>
      <c r="AH215">
        <v>1.9679200922517407E-2</v>
      </c>
      <c r="AI215">
        <v>2.3285535440882296E-2</v>
      </c>
      <c r="AJ215">
        <v>2.8709986017516446E-2</v>
      </c>
      <c r="AK215">
        <v>7.7076566243339667E-3</v>
      </c>
      <c r="AL215">
        <v>1.1313991142698855E-2</v>
      </c>
      <c r="AM215">
        <v>1.673844171933301E-2</v>
      </c>
      <c r="AN215">
        <v>7.5170165832804357E-3</v>
      </c>
      <c r="AO215">
        <v>1.2941467159914588E-2</v>
      </c>
      <c r="AP215">
        <v>9.0307850949990394E-3</v>
      </c>
      <c r="AQ215">
        <v>4.5677694852769984E-5</v>
      </c>
      <c r="AR215">
        <v>-7.2701113935578002E-4</v>
      </c>
      <c r="AS215">
        <v>-1.9088074867515807E-3</v>
      </c>
      <c r="AT215">
        <v>2.1875172308453632E-2</v>
      </c>
      <c r="AU215">
        <v>3.9567605234647201</v>
      </c>
      <c r="AV215" s="5">
        <v>111.6859936</v>
      </c>
      <c r="AW215" s="6">
        <v>171.43333333333334</v>
      </c>
      <c r="AX215" s="6">
        <f t="shared" si="13"/>
        <v>5.1441944641127613</v>
      </c>
      <c r="AY215" s="5">
        <f t="shared" si="15"/>
        <v>3.1231858843781879</v>
      </c>
      <c r="AZ215" s="5">
        <f t="shared" si="14"/>
        <v>2.5901472456218118</v>
      </c>
      <c r="BA215" s="5">
        <f>$C215-AY216</f>
        <v>2.0744809759927891</v>
      </c>
      <c r="BB215">
        <v>0.71245499999999995</v>
      </c>
      <c r="BC215">
        <v>2.8697531229225264E-3</v>
      </c>
      <c r="BD215">
        <v>8.5933332440000001</v>
      </c>
      <c r="BE215" s="5">
        <f>BD215-AY215</f>
        <v>5.4701473596218122</v>
      </c>
      <c r="BF215" s="5">
        <f>BD215-AY216</f>
        <v>4.9544810899927896</v>
      </c>
    </row>
    <row r="216" spans="1:58" x14ac:dyDescent="0.25">
      <c r="A216" t="s">
        <v>226</v>
      </c>
      <c r="B216">
        <v>0</v>
      </c>
      <c r="C216">
        <v>6.0166668889999997</v>
      </c>
      <c r="D216">
        <v>0</v>
      </c>
      <c r="E216">
        <v>0.39199999000000002</v>
      </c>
      <c r="F216">
        <v>4.4841770033188144</v>
      </c>
      <c r="G216">
        <v>4.4903876443439463</v>
      </c>
      <c r="H216">
        <v>4.4824721975024842</v>
      </c>
      <c r="I216">
        <v>4.5089235678622321</v>
      </c>
      <c r="J216">
        <v>5.5495156769764149</v>
      </c>
      <c r="K216">
        <v>0.1847046450814156</v>
      </c>
      <c r="L216">
        <v>215</v>
      </c>
      <c r="M216">
        <v>46225</v>
      </c>
      <c r="N216">
        <v>0</v>
      </c>
      <c r="O216" s="4">
        <v>4.4729978694011994</v>
      </c>
      <c r="P216" s="4">
        <v>4.4900062175788698</v>
      </c>
      <c r="Q216" s="4">
        <v>4.3084742773684077</v>
      </c>
      <c r="R216">
        <v>-2.337902701139714E-2</v>
      </c>
      <c r="S216" s="5">
        <v>2.4750000000000001</v>
      </c>
      <c r="T216" s="5">
        <v>-6.1130000000000004</v>
      </c>
      <c r="U216">
        <f t="shared" si="16"/>
        <v>2.4750000000000001E-2</v>
      </c>
      <c r="V216">
        <f t="shared" si="17"/>
        <v>-6.1130000000000004E-2</v>
      </c>
      <c r="W216" s="1">
        <v>9069638763252850</v>
      </c>
      <c r="X216" s="2">
        <v>7.5525747230000002</v>
      </c>
      <c r="Y216" s="2">
        <v>7.8385467240000004</v>
      </c>
      <c r="Z216" s="2">
        <v>9.4426260069999994</v>
      </c>
      <c r="AA216" s="2">
        <v>-4.1924818559999997</v>
      </c>
      <c r="AB216">
        <v>-6.5289467508743496E-3</v>
      </c>
      <c r="AC216">
        <v>4.0244416777761418E-3</v>
      </c>
      <c r="AD216">
        <v>7.7360068355854998E-4</v>
      </c>
      <c r="AE216">
        <v>6.5193359629794152E-3</v>
      </c>
      <c r="AF216">
        <v>4.7262813610323279E-3</v>
      </c>
      <c r="AG216">
        <v>-2.5045050730982078E-3</v>
      </c>
      <c r="AH216">
        <v>-1.7309043895396578E-3</v>
      </c>
      <c r="AI216">
        <v>4.7884315734397576E-3</v>
      </c>
      <c r="AJ216">
        <v>9.5147129344720846E-3</v>
      </c>
      <c r="AK216">
        <v>4.798042361334692E-3</v>
      </c>
      <c r="AL216">
        <v>1.1317378324314106E-2</v>
      </c>
      <c r="AM216">
        <v>1.6043659685346434E-2</v>
      </c>
      <c r="AN216">
        <v>7.2929366465379654E-3</v>
      </c>
      <c r="AO216">
        <v>1.2019218007570293E-2</v>
      </c>
      <c r="AP216">
        <v>1.1245617324011744E-2</v>
      </c>
      <c r="AQ216">
        <v>-2.7189742219457438E-3</v>
      </c>
      <c r="AR216">
        <v>-1.6240888356004821E-3</v>
      </c>
      <c r="AS216">
        <v>-4.627781708697324E-3</v>
      </c>
      <c r="AT216">
        <v>2.0251083472853149E-2</v>
      </c>
      <c r="AU216">
        <v>3.9557553809008601</v>
      </c>
      <c r="AV216" s="5">
        <v>112.3592355</v>
      </c>
      <c r="AW216" s="6">
        <v>173</v>
      </c>
      <c r="AX216" s="6">
        <f t="shared" si="13"/>
        <v>5.1532915944977793</v>
      </c>
      <c r="AY216" s="5">
        <f t="shared" si="15"/>
        <v>3.6388521540072105</v>
      </c>
      <c r="AZ216" s="5">
        <f t="shared" si="14"/>
        <v>2.3778147349927892</v>
      </c>
      <c r="BA216" s="5">
        <f>$C216-AY217</f>
        <v>3.1751458678050071</v>
      </c>
      <c r="BB216">
        <v>0.93401199999999995</v>
      </c>
      <c r="BC216">
        <v>4.7821498745511098E-4</v>
      </c>
      <c r="BD216">
        <v>8.3200006480000006</v>
      </c>
      <c r="BE216" s="5">
        <f>BD216-AY216</f>
        <v>4.6811484939927901</v>
      </c>
      <c r="BF216" s="5">
        <f>BD216-AY217</f>
        <v>5.478479626805008</v>
      </c>
    </row>
    <row r="217" spans="1:58" x14ac:dyDescent="0.25">
      <c r="A217" t="s">
        <v>227</v>
      </c>
      <c r="B217">
        <v>0</v>
      </c>
      <c r="C217">
        <v>6.0166668889999997</v>
      </c>
      <c r="D217">
        <v>0</v>
      </c>
      <c r="E217">
        <v>0.39199999000000002</v>
      </c>
      <c r="F217">
        <v>4.487219636302016</v>
      </c>
      <c r="G217">
        <v>4.4962923808022248</v>
      </c>
      <c r="H217">
        <v>4.4914908774759557</v>
      </c>
      <c r="I217">
        <v>4.5119248728784553</v>
      </c>
      <c r="J217">
        <v>5.5456656065590639</v>
      </c>
      <c r="K217">
        <v>0.1872943428531007</v>
      </c>
      <c r="L217">
        <v>216</v>
      </c>
      <c r="M217">
        <v>46656</v>
      </c>
      <c r="N217">
        <v>0</v>
      </c>
      <c r="O217" s="4">
        <v>4.4827200262315268</v>
      </c>
      <c r="P217" s="4">
        <v>4.4987424343698423</v>
      </c>
      <c r="Q217" s="4">
        <v>4.3157933448935548</v>
      </c>
      <c r="R217">
        <v>-8.6495957754499364E-3</v>
      </c>
      <c r="S217" s="5">
        <v>2.31</v>
      </c>
      <c r="T217" s="5">
        <v>0.58599999999999997</v>
      </c>
      <c r="U217">
        <f t="shared" si="16"/>
        <v>2.3099999999999999E-2</v>
      </c>
      <c r="V217">
        <f t="shared" si="17"/>
        <v>5.8599999999999998E-3</v>
      </c>
      <c r="W217" s="1">
        <v>9078202864584970</v>
      </c>
      <c r="X217" s="2">
        <v>7.5605721719999996</v>
      </c>
      <c r="Y217" s="2">
        <v>7.8394712220000002</v>
      </c>
      <c r="Z217" s="2">
        <v>9.4479389440000006</v>
      </c>
      <c r="AA217" s="2">
        <v>-5.0778076749999999</v>
      </c>
      <c r="AB217">
        <v>8.76532261283193E-3</v>
      </c>
      <c r="AC217">
        <v>4.5096144790562681E-3</v>
      </c>
      <c r="AD217">
        <v>4.6974900057800677E-3</v>
      </c>
      <c r="AE217">
        <v>5.1372825823367795E-3</v>
      </c>
      <c r="AF217">
        <v>4.6732501702920004E-3</v>
      </c>
      <c r="AG217">
        <v>1.3274937091888199E-2</v>
      </c>
      <c r="AH217">
        <v>1.7972427097668268E-2</v>
      </c>
      <c r="AI217">
        <v>2.3109709680005048E-2</v>
      </c>
      <c r="AJ217">
        <v>2.7782959850297047E-2</v>
      </c>
      <c r="AK217">
        <v>9.207104484836335E-3</v>
      </c>
      <c r="AL217">
        <v>1.4344387067173114E-2</v>
      </c>
      <c r="AM217">
        <v>1.9017637237465114E-2</v>
      </c>
      <c r="AN217">
        <v>9.8347725881168472E-3</v>
      </c>
      <c r="AO217">
        <v>1.4508022758408849E-2</v>
      </c>
      <c r="AP217">
        <v>9.810532752628779E-3</v>
      </c>
      <c r="AQ217">
        <v>1.9141678382983696E-3</v>
      </c>
      <c r="AR217">
        <v>2.3251690596028211E-3</v>
      </c>
      <c r="AS217">
        <v>-2.7136138703989544E-3</v>
      </c>
      <c r="AT217">
        <v>2.257625253245597E-2</v>
      </c>
      <c r="AU217">
        <v>3.9699668896786799</v>
      </c>
      <c r="AV217" s="5">
        <v>112.949913</v>
      </c>
      <c r="AW217" s="6">
        <v>174.23333333333332</v>
      </c>
      <c r="AX217" s="6">
        <f t="shared" si="13"/>
        <v>5.1603953970507668</v>
      </c>
      <c r="AY217" s="5">
        <f t="shared" si="15"/>
        <v>2.8415210211949926</v>
      </c>
      <c r="AZ217" s="5">
        <f t="shared" si="14"/>
        <v>3.1751458678050071</v>
      </c>
      <c r="BA217" s="5">
        <f>$C217-AY218</f>
        <v>2.2085650119018752</v>
      </c>
      <c r="BB217">
        <v>1.1559649999999999</v>
      </c>
      <c r="BC217">
        <v>3.492020418566688E-3</v>
      </c>
      <c r="BD217">
        <v>8.2133331300000005</v>
      </c>
      <c r="BE217" s="5">
        <f>BD217-AY217</f>
        <v>5.3718121088050079</v>
      </c>
      <c r="BF217" s="5">
        <f>BD217-AY218</f>
        <v>4.405231252901876</v>
      </c>
    </row>
    <row r="218" spans="1:58" x14ac:dyDescent="0.25">
      <c r="A218" t="s">
        <v>228</v>
      </c>
      <c r="B218">
        <v>0</v>
      </c>
      <c r="C218">
        <v>4.8166666029999998</v>
      </c>
      <c r="D218">
        <v>0</v>
      </c>
      <c r="E218">
        <v>0.38499999000000001</v>
      </c>
      <c r="F218">
        <v>4.5018963805242658</v>
      </c>
      <c r="G218">
        <v>4.4929864449821393</v>
      </c>
      <c r="H218">
        <v>4.4934977114305772</v>
      </c>
      <c r="I218">
        <v>4.5059242713301195</v>
      </c>
      <c r="J218">
        <v>5.5458373829222776</v>
      </c>
      <c r="K218">
        <v>0.20543645222238344</v>
      </c>
      <c r="L218">
        <v>217</v>
      </c>
      <c r="M218">
        <v>47089</v>
      </c>
      <c r="N218">
        <v>0</v>
      </c>
      <c r="O218" s="4">
        <v>4.4768707968179333</v>
      </c>
      <c r="P218" s="4">
        <v>4.5034364190526137</v>
      </c>
      <c r="Q218" s="4">
        <v>4.3326131512813788</v>
      </c>
      <c r="R218">
        <v>1.6557100435665779E-2</v>
      </c>
      <c r="S218" s="5">
        <v>2.4910000000000001</v>
      </c>
      <c r="T218" s="5">
        <v>1.494</v>
      </c>
      <c r="U218">
        <f t="shared" si="16"/>
        <v>2.4910000000000002E-2</v>
      </c>
      <c r="V218">
        <f t="shared" si="17"/>
        <v>1.494E-2</v>
      </c>
      <c r="W218" s="1">
        <v>9082197861778760</v>
      </c>
      <c r="X218" s="2">
        <v>7.5799214790000002</v>
      </c>
      <c r="Y218" s="2">
        <v>7.8303893000000002</v>
      </c>
      <c r="Z218" s="2">
        <v>9.4450725149999997</v>
      </c>
      <c r="AA218" s="2">
        <v>-3.1255664150000002</v>
      </c>
      <c r="AB218">
        <v>1.6455109688537901E-3</v>
      </c>
      <c r="AC218">
        <v>6.6000270953829564E-3</v>
      </c>
      <c r="AD218">
        <v>5.4238675021477389E-3</v>
      </c>
      <c r="AE218">
        <v>5.7026387196586672E-3</v>
      </c>
      <c r="AF218">
        <v>5.5898957045574776E-3</v>
      </c>
      <c r="AG218">
        <v>8.2455380642367463E-3</v>
      </c>
      <c r="AH218">
        <v>1.3669405566384485E-2</v>
      </c>
      <c r="AI218">
        <v>1.9372044286043152E-2</v>
      </c>
      <c r="AJ218">
        <v>2.4961939990600632E-2</v>
      </c>
      <c r="AK218">
        <v>1.2023894597530695E-2</v>
      </c>
      <c r="AL218">
        <v>1.7726533317189361E-2</v>
      </c>
      <c r="AM218">
        <v>2.331642902174684E-2</v>
      </c>
      <c r="AN218">
        <v>1.1126506221806406E-2</v>
      </c>
      <c r="AO218">
        <v>1.6716401926363884E-2</v>
      </c>
      <c r="AP218">
        <v>1.1292534424216145E-2</v>
      </c>
      <c r="AQ218">
        <v>2.1891220094138481E-3</v>
      </c>
      <c r="AR218">
        <v>3.2185105587805123E-3</v>
      </c>
      <c r="AS218">
        <v>-5.2449186098510632E-4</v>
      </c>
      <c r="AT218">
        <v>2.5794763091236482E-2</v>
      </c>
      <c r="AU218">
        <v>3.9897788104887502</v>
      </c>
      <c r="AV218" s="5">
        <v>113.71884369999999</v>
      </c>
      <c r="AW218" s="6">
        <v>175.9</v>
      </c>
      <c r="AX218" s="6">
        <f t="shared" si="13"/>
        <v>5.1699156517435121</v>
      </c>
      <c r="AY218" s="5">
        <f t="shared" si="15"/>
        <v>3.8081018770981245</v>
      </c>
      <c r="AZ218" s="5">
        <f t="shared" si="14"/>
        <v>1.0085647259018753</v>
      </c>
      <c r="BA218" s="5">
        <f>$C218-AY219</f>
        <v>2.0218294373635342</v>
      </c>
      <c r="BB218">
        <v>1.2345759999999999</v>
      </c>
      <c r="BC218">
        <v>-3.5233509498808213E-4</v>
      </c>
      <c r="BD218">
        <v>7.8800001139999996</v>
      </c>
      <c r="BE218" s="5">
        <f>BD218-AY218</f>
        <v>4.071898236901875</v>
      </c>
      <c r="BF218" s="5">
        <f>BD218-AY219</f>
        <v>5.0851629483635339</v>
      </c>
    </row>
    <row r="219" spans="1:58" x14ac:dyDescent="0.25">
      <c r="A219" t="s">
        <v>229</v>
      </c>
      <c r="B219">
        <v>0</v>
      </c>
      <c r="C219">
        <v>3.6599998469999999</v>
      </c>
      <c r="D219">
        <v>0</v>
      </c>
      <c r="E219">
        <v>0.38499999000000001</v>
      </c>
      <c r="F219">
        <v>4.5224514008110894</v>
      </c>
      <c r="G219">
        <v>4.499520739704943</v>
      </c>
      <c r="H219">
        <v>4.4978706247069251</v>
      </c>
      <c r="I219">
        <v>4.4901745120272327</v>
      </c>
      <c r="J219">
        <v>5.5389550001648269</v>
      </c>
      <c r="K219">
        <v>0.20263120404852789</v>
      </c>
      <c r="L219">
        <v>218</v>
      </c>
      <c r="M219">
        <v>47524</v>
      </c>
      <c r="N219">
        <v>0</v>
      </c>
      <c r="O219" s="4">
        <v>4.4816343848614828</v>
      </c>
      <c r="P219" s="4">
        <v>4.5076676046268531</v>
      </c>
      <c r="Q219" s="4">
        <v>4.3321139657316303</v>
      </c>
      <c r="R219">
        <v>1.4587842579914113E-2</v>
      </c>
      <c r="S219" s="5">
        <v>2.6019999999999999</v>
      </c>
      <c r="T219" s="5">
        <v>2.847</v>
      </c>
      <c r="U219">
        <f t="shared" si="16"/>
        <v>2.6019999999999998E-2</v>
      </c>
      <c r="V219">
        <f t="shared" si="17"/>
        <v>2.8469999999999999E-2</v>
      </c>
      <c r="W219" s="1">
        <v>9084559324825350</v>
      </c>
      <c r="X219" s="2">
        <v>7.6002093349999997</v>
      </c>
      <c r="Y219" s="2">
        <v>7.8052826480000004</v>
      </c>
      <c r="Z219" s="2">
        <v>9.450364639</v>
      </c>
      <c r="AA219" s="2">
        <v>-4.9199740470000002</v>
      </c>
      <c r="AB219">
        <v>3.2862533854163358E-3</v>
      </c>
      <c r="AC219">
        <v>6.2780673873451204E-3</v>
      </c>
      <c r="AD219">
        <v>6.3995934001309651E-3</v>
      </c>
      <c r="AE219">
        <v>5.774172529212686E-3</v>
      </c>
      <c r="AF219">
        <v>5.7032274741899841E-3</v>
      </c>
      <c r="AG219">
        <v>9.5643207727614567E-3</v>
      </c>
      <c r="AH219">
        <v>1.5963914172892422E-2</v>
      </c>
      <c r="AI219">
        <v>2.1738086702105107E-2</v>
      </c>
      <c r="AJ219">
        <v>2.7441314176295091E-2</v>
      </c>
      <c r="AK219">
        <v>1.2677660787476085E-2</v>
      </c>
      <c r="AL219">
        <v>1.845183331668877E-2</v>
      </c>
      <c r="AM219">
        <v>2.4155060790878754E-2</v>
      </c>
      <c r="AN219">
        <v>1.217376592934365E-2</v>
      </c>
      <c r="AO219">
        <v>1.7876993403533634E-2</v>
      </c>
      <c r="AP219">
        <v>1.1477400003402669E-2</v>
      </c>
      <c r="AQ219">
        <v>1.5511545656696785E-3</v>
      </c>
      <c r="AR219">
        <v>1.7354313903248861E-3</v>
      </c>
      <c r="AS219">
        <v>1.0266627046845722E-3</v>
      </c>
      <c r="AT219">
        <v>2.7530194481561368E-2</v>
      </c>
      <c r="AU219">
        <v>3.9641137294737501</v>
      </c>
      <c r="AV219" s="5">
        <v>114.49196430000001</v>
      </c>
      <c r="AW219" s="6">
        <v>177.13333333333333</v>
      </c>
      <c r="AX219" s="6">
        <f t="shared" si="13"/>
        <v>5.1769027446576033</v>
      </c>
      <c r="AY219" s="5">
        <f t="shared" si="15"/>
        <v>2.7948371656364657</v>
      </c>
      <c r="AZ219" s="5">
        <f t="shared" si="14"/>
        <v>0.86516268136353425</v>
      </c>
      <c r="BA219" s="5">
        <f>$C219-AY220</f>
        <v>2.532497456190546</v>
      </c>
      <c r="BB219">
        <v>1.1943250000000001</v>
      </c>
      <c r="BC219">
        <v>1.6106633421124504E-3</v>
      </c>
      <c r="BD219">
        <v>8.0366668699999995</v>
      </c>
      <c r="BE219" s="5">
        <f>BD219-AY219</f>
        <v>5.2418297043635338</v>
      </c>
      <c r="BF219" s="5">
        <f>BD219-AY220</f>
        <v>6.9091644791905455</v>
      </c>
    </row>
    <row r="220" spans="1:58" x14ac:dyDescent="0.25">
      <c r="A220" t="s">
        <v>230</v>
      </c>
      <c r="B220">
        <v>1</v>
      </c>
      <c r="C220">
        <v>3.170000076</v>
      </c>
      <c r="D220">
        <v>0</v>
      </c>
      <c r="E220">
        <v>0.38499999000000001</v>
      </c>
      <c r="F220">
        <v>4.5206248567108505</v>
      </c>
      <c r="G220">
        <v>4.4967717271168137</v>
      </c>
      <c r="H220">
        <v>4.501114329004011</v>
      </c>
      <c r="I220">
        <v>4.4796409760397387</v>
      </c>
      <c r="J220">
        <v>5.5332155605594151</v>
      </c>
      <c r="K220">
        <v>0.20541485888412933</v>
      </c>
      <c r="L220">
        <v>219</v>
      </c>
      <c r="M220">
        <v>47961</v>
      </c>
      <c r="N220">
        <v>9.4259947773581969E-3</v>
      </c>
      <c r="O220" s="4">
        <v>4.4864654757201246</v>
      </c>
      <c r="P220" s="4">
        <v>4.5103538842059363</v>
      </c>
      <c r="Q220" s="4">
        <v>4.3441430271962487</v>
      </c>
      <c r="R220">
        <v>4.1411658449934732E-4</v>
      </c>
      <c r="S220" s="5">
        <v>2.5430000000000001</v>
      </c>
      <c r="T220" s="5">
        <v>-0.73</v>
      </c>
      <c r="U220">
        <f t="shared" si="16"/>
        <v>2.5430000000000001E-2</v>
      </c>
      <c r="V220">
        <f t="shared" si="17"/>
        <v>-7.3000000000000001E-3</v>
      </c>
      <c r="W220" s="1">
        <v>9087980629154770</v>
      </c>
      <c r="X220" s="2">
        <v>7.6001877909999997</v>
      </c>
      <c r="Y220" s="2">
        <v>7.6891137279999997</v>
      </c>
      <c r="Z220" s="2">
        <v>9.44731582</v>
      </c>
      <c r="AA220" s="2">
        <v>-3.3679906060000002</v>
      </c>
      <c r="AB220">
        <v>5.5366246656566604E-3</v>
      </c>
      <c r="AC220">
        <v>5.5327197127531431E-3</v>
      </c>
      <c r="AD220">
        <v>5.3271563722353124E-3</v>
      </c>
      <c r="AE220">
        <v>5.215790763551097E-3</v>
      </c>
      <c r="AF220">
        <v>4.3858850353008655E-3</v>
      </c>
      <c r="AG220">
        <v>1.1069344378409804E-2</v>
      </c>
      <c r="AH220">
        <v>1.6396500750645117E-2</v>
      </c>
      <c r="AI220">
        <v>2.1612291514196212E-2</v>
      </c>
      <c r="AJ220">
        <v>2.5998176549497078E-2</v>
      </c>
      <c r="AK220">
        <v>1.0859876084988455E-2</v>
      </c>
      <c r="AL220">
        <v>1.6075666848539553E-2</v>
      </c>
      <c r="AM220">
        <v>2.0461551883840419E-2</v>
      </c>
      <c r="AN220">
        <v>1.054294713578641E-2</v>
      </c>
      <c r="AO220">
        <v>1.4928832171087276E-2</v>
      </c>
      <c r="AP220">
        <v>9.6016757988519625E-3</v>
      </c>
      <c r="AQ220">
        <v>-1.3138898443551955E-3</v>
      </c>
      <c r="AR220">
        <v>-1.8013265549940809E-3</v>
      </c>
      <c r="AS220">
        <v>-2.872271396706233E-4</v>
      </c>
      <c r="AT220">
        <v>2.5728867926567287E-2</v>
      </c>
      <c r="AU220">
        <v>3.9968965500771398</v>
      </c>
      <c r="AV220" s="5">
        <v>114.8506024</v>
      </c>
      <c r="AW220" s="6">
        <v>177.63333333333333</v>
      </c>
      <c r="AX220" s="6">
        <f t="shared" si="13"/>
        <v>5.1797215006346269</v>
      </c>
      <c r="AY220" s="5">
        <f t="shared" si="15"/>
        <v>1.1275023908094539</v>
      </c>
      <c r="AZ220" s="5">
        <f t="shared" si="14"/>
        <v>2.0424976851905461</v>
      </c>
      <c r="BA220" s="5">
        <f>$C220-AY221</f>
        <v>3.4703567636625285</v>
      </c>
      <c r="BB220">
        <v>1.3376809999999999</v>
      </c>
      <c r="BC220">
        <v>1.0566925915827677E-3</v>
      </c>
      <c r="BD220">
        <v>7.9499998090000004</v>
      </c>
      <c r="BE220" s="5">
        <f>BD220-AY220</f>
        <v>6.8224974181905464</v>
      </c>
      <c r="BF220" s="5">
        <f>BD220-AY221</f>
        <v>8.2503564966625298</v>
      </c>
    </row>
    <row r="221" spans="1:58" x14ac:dyDescent="0.25">
      <c r="A221" t="s">
        <v>231</v>
      </c>
      <c r="B221">
        <v>0</v>
      </c>
      <c r="C221">
        <v>1.9066667559999999</v>
      </c>
      <c r="D221">
        <v>0</v>
      </c>
      <c r="E221">
        <v>0.38499999000000001</v>
      </c>
      <c r="F221">
        <v>4.5382287802342098</v>
      </c>
      <c r="G221">
        <v>4.5002984397519166</v>
      </c>
      <c r="H221">
        <v>4.5066213425698756</v>
      </c>
      <c r="I221">
        <v>4.4542077516338896</v>
      </c>
      <c r="J221">
        <v>5.5266912159751689</v>
      </c>
      <c r="K221">
        <v>0.21419005061837815</v>
      </c>
      <c r="L221">
        <v>220</v>
      </c>
      <c r="M221">
        <v>48400</v>
      </c>
      <c r="N221">
        <v>0</v>
      </c>
      <c r="O221" s="4">
        <v>4.4950874269578955</v>
      </c>
      <c r="P221" s="4">
        <v>4.5147968001385133</v>
      </c>
      <c r="Q221" s="4">
        <v>4.4248107030676662</v>
      </c>
      <c r="R221">
        <v>6.474825397022284E-3</v>
      </c>
      <c r="S221" s="5">
        <v>2.4809999999999999</v>
      </c>
      <c r="T221" s="5">
        <v>6.7149999999999999</v>
      </c>
      <c r="U221">
        <f t="shared" si="16"/>
        <v>2.4809999999999999E-2</v>
      </c>
      <c r="V221">
        <f t="shared" si="17"/>
        <v>6.7150000000000001E-2</v>
      </c>
      <c r="W221" s="1">
        <v>9102823087719700</v>
      </c>
      <c r="X221" s="2">
        <v>7.615936262</v>
      </c>
      <c r="Y221" s="2">
        <v>7.7157913860000003</v>
      </c>
      <c r="Z221" s="2">
        <v>9.4497666369999997</v>
      </c>
      <c r="AA221" s="2">
        <v>-1.5570759569999999</v>
      </c>
      <c r="AB221">
        <v>1.4387586590002449E-2</v>
      </c>
      <c r="AC221">
        <v>1.5859482410910078E-2</v>
      </c>
      <c r="AD221">
        <v>1.428447577137314E-2</v>
      </c>
      <c r="AE221">
        <v>8.1300618989445517E-3</v>
      </c>
      <c r="AF221">
        <v>7.1262806764957852E-3</v>
      </c>
      <c r="AG221">
        <v>3.0247069000912528E-2</v>
      </c>
      <c r="AH221">
        <v>4.4531544772285672E-2</v>
      </c>
      <c r="AI221">
        <v>5.2661606671230224E-2</v>
      </c>
      <c r="AJ221">
        <v>5.9787887347726013E-2</v>
      </c>
      <c r="AK221">
        <v>3.0143958182283218E-2</v>
      </c>
      <c r="AL221">
        <v>3.8274020081227766E-2</v>
      </c>
      <c r="AM221">
        <v>4.5400300757723555E-2</v>
      </c>
      <c r="AN221">
        <v>2.2414537670317692E-2</v>
      </c>
      <c r="AO221">
        <v>2.9540818346813477E-2</v>
      </c>
      <c r="AP221">
        <v>1.5256342575440337E-2</v>
      </c>
      <c r="AQ221">
        <v>1.9601011046496808E-2</v>
      </c>
      <c r="AR221">
        <v>2.3345187910140491E-2</v>
      </c>
      <c r="AS221">
        <v>1.9313783906826185E-2</v>
      </c>
      <c r="AT221">
        <v>4.9074055836707778E-2</v>
      </c>
      <c r="AU221">
        <v>4.0004886456077697</v>
      </c>
      <c r="AV221" s="5">
        <v>115.20034649999999</v>
      </c>
      <c r="AW221" s="6">
        <v>177.5</v>
      </c>
      <c r="AX221" s="6">
        <f t="shared" si="13"/>
        <v>5.1789706089154706</v>
      </c>
      <c r="AY221" s="5">
        <f t="shared" si="15"/>
        <v>-0.30035668766252854</v>
      </c>
      <c r="AZ221" s="5">
        <f t="shared" si="14"/>
        <v>2.2070234436625285</v>
      </c>
      <c r="BA221" s="5">
        <f>$C221-AY222</f>
        <v>0.63170551908797989</v>
      </c>
      <c r="BB221">
        <v>1.305858</v>
      </c>
      <c r="BC221">
        <v>-2.0473714399158165E-4</v>
      </c>
      <c r="BD221">
        <v>7.9233331680000001</v>
      </c>
      <c r="BE221" s="5">
        <f>BD221-AY221</f>
        <v>8.2236898556625277</v>
      </c>
      <c r="BF221" s="5">
        <f>BD221-AY222</f>
        <v>6.6483719310879801</v>
      </c>
    </row>
    <row r="222" spans="1:58" x14ac:dyDescent="0.25">
      <c r="A222" t="s">
        <v>232</v>
      </c>
      <c r="B222">
        <v>0</v>
      </c>
      <c r="C222">
        <v>1.723333359</v>
      </c>
      <c r="D222">
        <v>-82.4</v>
      </c>
      <c r="E222">
        <v>0.37999999499999998</v>
      </c>
      <c r="F222">
        <v>4.5534346885800376</v>
      </c>
      <c r="G222">
        <v>4.5088575038461771</v>
      </c>
      <c r="H222">
        <v>4.5124529460976488</v>
      </c>
      <c r="I222">
        <v>4.4452948180239664</v>
      </c>
      <c r="J222">
        <v>5.5202201484261133</v>
      </c>
      <c r="K222">
        <v>0.2233698527661159</v>
      </c>
      <c r="L222">
        <v>221</v>
      </c>
      <c r="M222">
        <v>48841</v>
      </c>
      <c r="N222">
        <v>2.8564267191100057E-2</v>
      </c>
      <c r="O222" s="4">
        <v>4.4991427813425613</v>
      </c>
      <c r="P222" s="4">
        <v>4.5212558264669944</v>
      </c>
      <c r="Q222" s="4">
        <v>4.4132951395890636</v>
      </c>
      <c r="R222">
        <v>7.6622844323126146E-3</v>
      </c>
      <c r="S222" s="5">
        <v>3.5419999999999998</v>
      </c>
      <c r="T222" s="5">
        <v>4.3780000000000001</v>
      </c>
      <c r="U222">
        <f t="shared" si="16"/>
        <v>3.542E-2</v>
      </c>
      <c r="V222">
        <f t="shared" si="17"/>
        <v>4.3779999999999999E-2</v>
      </c>
      <c r="W222" s="1">
        <v>910587900751629</v>
      </c>
      <c r="X222" s="2">
        <v>7.640018939</v>
      </c>
      <c r="Y222" s="2">
        <v>7.6184508849999997</v>
      </c>
      <c r="Z222" s="2">
        <v>9.4591204799999993</v>
      </c>
      <c r="AA222" s="2">
        <v>-1.7539686409999999</v>
      </c>
      <c r="AB222">
        <v>1.325871791651889E-2</v>
      </c>
      <c r="AC222">
        <v>1.4241283474177448E-2</v>
      </c>
      <c r="AD222">
        <v>1.13931110248229E-2</v>
      </c>
      <c r="AE222">
        <v>7.1457753784112382E-3</v>
      </c>
      <c r="AF222">
        <v>7.3878751753466906E-3</v>
      </c>
      <c r="AG222">
        <v>2.7500001390696339E-2</v>
      </c>
      <c r="AH222">
        <v>3.8893112415519238E-2</v>
      </c>
      <c r="AI222">
        <v>4.6038887793930477E-2</v>
      </c>
      <c r="AJ222">
        <v>5.3426762969277168E-2</v>
      </c>
      <c r="AK222">
        <v>2.5634394499000346E-2</v>
      </c>
      <c r="AL222">
        <v>3.2780169877411586E-2</v>
      </c>
      <c r="AM222">
        <v>4.0168045052758276E-2</v>
      </c>
      <c r="AN222">
        <v>1.8538886403234138E-2</v>
      </c>
      <c r="AO222">
        <v>2.5926761578580829E-2</v>
      </c>
      <c r="AP222">
        <v>1.4533650553757929E-2</v>
      </c>
      <c r="AQ222">
        <v>3.2198568286826539E-3</v>
      </c>
      <c r="AR222">
        <v>3.2393515305981085E-3</v>
      </c>
      <c r="AS222">
        <v>2.2533640735508838E-2</v>
      </c>
      <c r="AT222">
        <v>5.2313407367305886E-2</v>
      </c>
      <c r="AU222">
        <v>3.9929357481106602</v>
      </c>
      <c r="AV222" s="5">
        <v>115.60153270000001</v>
      </c>
      <c r="AW222" s="6">
        <v>178.06666666666666</v>
      </c>
      <c r="AX222" s="6">
        <f t="shared" si="13"/>
        <v>5.1821580120077506</v>
      </c>
      <c r="AY222" s="5">
        <f t="shared" si="15"/>
        <v>1.27496123691202</v>
      </c>
      <c r="AZ222" s="5">
        <f t="shared" si="14"/>
        <v>0.44837212208797994</v>
      </c>
      <c r="BA222" s="5">
        <f>$C222-AY223</f>
        <v>-1.4092577028630104</v>
      </c>
      <c r="BB222">
        <v>1.4735499999999999</v>
      </c>
      <c r="BC222">
        <v>-2.6067475016399964E-3</v>
      </c>
      <c r="BD222">
        <v>7.95666647</v>
      </c>
      <c r="BE222" s="5">
        <f>BD222-AY222</f>
        <v>6.68170523308798</v>
      </c>
      <c r="BF222" s="5">
        <f>BD222-AY223</f>
        <v>4.8240754081369897</v>
      </c>
    </row>
    <row r="223" spans="1:58" x14ac:dyDescent="0.25">
      <c r="A223" t="s">
        <v>233</v>
      </c>
      <c r="B223">
        <v>0</v>
      </c>
      <c r="C223">
        <v>1.716666698</v>
      </c>
      <c r="D223">
        <v>0</v>
      </c>
      <c r="E223">
        <v>0.37999999499999998</v>
      </c>
      <c r="F223">
        <v>4.5629931070889054</v>
      </c>
      <c r="G223">
        <v>4.5141398346384198</v>
      </c>
      <c r="H223">
        <v>4.5166895343246898</v>
      </c>
      <c r="I223">
        <v>4.4413209602738366</v>
      </c>
      <c r="J223">
        <v>5.5245640980143893</v>
      </c>
      <c r="K223">
        <v>0.22931980455157344</v>
      </c>
      <c r="L223">
        <v>222</v>
      </c>
      <c r="M223">
        <v>49284</v>
      </c>
      <c r="N223">
        <v>0</v>
      </c>
      <c r="O223" s="4">
        <v>4.5004205947890208</v>
      </c>
      <c r="P223" s="4">
        <v>4.5265165131588292</v>
      </c>
      <c r="Q223" s="4">
        <v>4.4237562172115048</v>
      </c>
      <c r="R223">
        <v>8.6040861089888392E-3</v>
      </c>
      <c r="S223" s="5">
        <v>3.2650000000000001</v>
      </c>
      <c r="T223" s="5">
        <v>-1.413</v>
      </c>
      <c r="U223">
        <f t="shared" si="16"/>
        <v>3.2649999999999998E-2</v>
      </c>
      <c r="V223">
        <f t="shared" si="17"/>
        <v>-1.413E-2</v>
      </c>
      <c r="W223" s="1">
        <v>9111000363307620</v>
      </c>
      <c r="X223" s="2">
        <v>7.653253243</v>
      </c>
      <c r="Y223" s="2">
        <v>7.6005369390000004</v>
      </c>
      <c r="Z223" s="2">
        <v>9.4645716530000001</v>
      </c>
      <c r="AA223" s="2">
        <v>-0.77848615099999996</v>
      </c>
      <c r="AB223">
        <v>1.0778443319093205E-2</v>
      </c>
      <c r="AC223">
        <v>9.822780228794608E-3</v>
      </c>
      <c r="AD223">
        <v>7.8440553952955558E-3</v>
      </c>
      <c r="AE223">
        <v>8.4171114666762633E-3</v>
      </c>
      <c r="AF223">
        <v>9.6365604373367109E-3</v>
      </c>
      <c r="AG223">
        <v>2.0601223547887813E-2</v>
      </c>
      <c r="AH223">
        <v>2.8445278943183369E-2</v>
      </c>
      <c r="AI223">
        <v>3.6862390409859634E-2</v>
      </c>
      <c r="AJ223">
        <v>4.6498950847196345E-2</v>
      </c>
      <c r="AK223">
        <v>1.7666835624090164E-2</v>
      </c>
      <c r="AL223">
        <v>2.6083947090766425E-2</v>
      </c>
      <c r="AM223">
        <v>3.5720507528103136E-2</v>
      </c>
      <c r="AN223">
        <v>1.6261166861971821E-2</v>
      </c>
      <c r="AO223">
        <v>2.5897727299308532E-2</v>
      </c>
      <c r="AP223">
        <v>1.8053671904012976E-2</v>
      </c>
      <c r="AQ223">
        <v>-8.7205077914397425E-4</v>
      </c>
      <c r="AR223">
        <v>1.5718551218559668E-4</v>
      </c>
      <c r="AS223">
        <v>2.1661589956364864E-2</v>
      </c>
      <c r="AT223">
        <v>5.2470592879491483E-2</v>
      </c>
      <c r="AU223">
        <v>4.0256162232148602</v>
      </c>
      <c r="AV223" s="5">
        <v>116.1228491</v>
      </c>
      <c r="AW223" s="6">
        <v>179.46666666666667</v>
      </c>
      <c r="AX223" s="6">
        <f t="shared" si="13"/>
        <v>5.1899894896624081</v>
      </c>
      <c r="AY223" s="5">
        <f t="shared" si="15"/>
        <v>3.1325910618630104</v>
      </c>
      <c r="AZ223" s="5">
        <f t="shared" si="14"/>
        <v>-1.4159243638630103</v>
      </c>
      <c r="BA223" s="5">
        <f>$C223-AY224</f>
        <v>-0.43208349096591991</v>
      </c>
      <c r="BB223">
        <v>1.665179</v>
      </c>
      <c r="BC223">
        <v>-9.4555942231038838E-4</v>
      </c>
      <c r="BD223">
        <v>8.0233335490000002</v>
      </c>
      <c r="BE223" s="5">
        <f>BD223-AY223</f>
        <v>4.8907424871369898</v>
      </c>
      <c r="BF223" s="5">
        <f>BD223-AY224</f>
        <v>5.8745833600340802</v>
      </c>
    </row>
    <row r="224" spans="1:58" x14ac:dyDescent="0.25">
      <c r="A224" t="s">
        <v>234</v>
      </c>
      <c r="B224">
        <v>0</v>
      </c>
      <c r="C224">
        <v>1.6433333160000001</v>
      </c>
      <c r="D224">
        <v>0</v>
      </c>
      <c r="E224">
        <v>0.37999999499999998</v>
      </c>
      <c r="F224">
        <v>4.5710548183519588</v>
      </c>
      <c r="G224">
        <v>4.5191328798918811</v>
      </c>
      <c r="H224">
        <v>4.5200204805394009</v>
      </c>
      <c r="I224">
        <v>4.4395759443263287</v>
      </c>
      <c r="J224">
        <v>5.5231235349481462</v>
      </c>
      <c r="K224">
        <v>0.23202755641377321</v>
      </c>
      <c r="L224">
        <v>223</v>
      </c>
      <c r="M224">
        <v>49729</v>
      </c>
      <c r="N224">
        <v>8.772012563785736E-3</v>
      </c>
      <c r="O224" s="4">
        <v>4.5032592691722808</v>
      </c>
      <c r="P224" s="4">
        <v>4.5300262928380617</v>
      </c>
      <c r="Q224" s="4">
        <v>4.4526132354992907</v>
      </c>
      <c r="R224">
        <v>5.8951237865641423E-3</v>
      </c>
      <c r="S224" s="5">
        <v>2.6850000000000001</v>
      </c>
      <c r="T224" s="5">
        <v>-0.84</v>
      </c>
      <c r="U224">
        <f t="shared" si="16"/>
        <v>2.6849999999999999E-2</v>
      </c>
      <c r="V224">
        <f t="shared" si="17"/>
        <v>-8.3999999999999995E-3</v>
      </c>
      <c r="W224" s="1">
        <v>9118219490947470</v>
      </c>
      <c r="X224" s="2">
        <v>7.6626158899999997</v>
      </c>
      <c r="Y224" s="2">
        <v>7.6069167760000003</v>
      </c>
      <c r="Z224" s="2">
        <v>9.469368308</v>
      </c>
      <c r="AA224" s="2">
        <v>-0.22271548499999999</v>
      </c>
      <c r="AB224">
        <v>1.3053296500282233E-2</v>
      </c>
      <c r="AC224">
        <v>1.0732581402891529E-2</v>
      </c>
      <c r="AD224">
        <v>7.798649200687755E-3</v>
      </c>
      <c r="AE224">
        <v>9.9306556699508136E-3</v>
      </c>
      <c r="AF224">
        <v>6.8389828646954502E-3</v>
      </c>
      <c r="AG224">
        <v>2.3785877903173762E-2</v>
      </c>
      <c r="AH224">
        <v>3.1584527103861518E-2</v>
      </c>
      <c r="AI224">
        <v>4.1515182773812331E-2</v>
      </c>
      <c r="AJ224">
        <v>4.8354165638507779E-2</v>
      </c>
      <c r="AK224">
        <v>1.8531230603579283E-2</v>
      </c>
      <c r="AL224">
        <v>2.8461886273530097E-2</v>
      </c>
      <c r="AM224">
        <v>3.5300869138225548E-2</v>
      </c>
      <c r="AN224">
        <v>1.7729304870638569E-2</v>
      </c>
      <c r="AO224">
        <v>2.4568287735334021E-2</v>
      </c>
      <c r="AP224">
        <v>1.6769638534646265E-2</v>
      </c>
      <c r="AQ224">
        <v>2.2700637416074622E-3</v>
      </c>
      <c r="AR224">
        <v>2.5641589742215649E-3</v>
      </c>
      <c r="AS224">
        <v>2.3931653697972326E-2</v>
      </c>
      <c r="AT224">
        <v>5.5034751853713051E-2</v>
      </c>
      <c r="AU224">
        <v>4.0707721124199399</v>
      </c>
      <c r="AV224" s="5">
        <v>116.6321548</v>
      </c>
      <c r="AW224" s="6">
        <v>180.43333333333334</v>
      </c>
      <c r="AX224" s="6">
        <f t="shared" si="13"/>
        <v>5.1953613651348229</v>
      </c>
      <c r="AY224" s="5">
        <f t="shared" si="15"/>
        <v>2.14875018896592</v>
      </c>
      <c r="AZ224" s="5">
        <f t="shared" si="14"/>
        <v>-0.50541687296591986</v>
      </c>
      <c r="BA224" s="5">
        <f>$C224-AY225</f>
        <v>-0.71438211203284707</v>
      </c>
      <c r="BB224">
        <v>1.6882900000000001</v>
      </c>
      <c r="BC224">
        <v>2.381488104728915E-3</v>
      </c>
      <c r="BD224">
        <v>7.626666546</v>
      </c>
      <c r="BE224" s="5">
        <f>BD224-AY224</f>
        <v>5.4779163570340801</v>
      </c>
      <c r="BF224" s="5">
        <f>BD224-AY225</f>
        <v>5.2689511179671529</v>
      </c>
    </row>
    <row r="225" spans="1:58" x14ac:dyDescent="0.25">
      <c r="A225" t="s">
        <v>235</v>
      </c>
      <c r="B225">
        <v>0</v>
      </c>
      <c r="C225">
        <v>1.3333333730000001</v>
      </c>
      <c r="D225">
        <v>0</v>
      </c>
      <c r="E225">
        <v>0.37999999499999998</v>
      </c>
      <c r="F225">
        <v>4.5777270441579345</v>
      </c>
      <c r="G225">
        <v>4.5193399293828982</v>
      </c>
      <c r="H225">
        <v>4.5261116903273093</v>
      </c>
      <c r="I225">
        <v>4.4314594494420323</v>
      </c>
      <c r="J225">
        <v>5.5245162455912524</v>
      </c>
      <c r="K225">
        <v>0.23264991615358879</v>
      </c>
      <c r="L225">
        <v>224</v>
      </c>
      <c r="M225">
        <v>50176</v>
      </c>
      <c r="N225">
        <v>0</v>
      </c>
      <c r="O225" s="4">
        <v>4.5158470480278892</v>
      </c>
      <c r="P225" s="4">
        <v>4.5339426766997235</v>
      </c>
      <c r="Q225" s="4">
        <v>4.4393398976351977</v>
      </c>
      <c r="R225">
        <v>6.0246045133477404E-3</v>
      </c>
      <c r="S225" s="5">
        <v>2.4620000000000002</v>
      </c>
      <c r="T225" s="5">
        <v>2.234</v>
      </c>
      <c r="U225">
        <f t="shared" si="16"/>
        <v>2.4620000000000003E-2</v>
      </c>
      <c r="V225">
        <f t="shared" si="17"/>
        <v>2.2339999999999999E-2</v>
      </c>
      <c r="W225" s="1">
        <v>9123950002121700</v>
      </c>
      <c r="X225" s="2">
        <v>7.6753005290000003</v>
      </c>
      <c r="Y225" s="2">
        <v>7.6015092339999999</v>
      </c>
      <c r="Z225" s="2">
        <v>9.4698467100000006</v>
      </c>
      <c r="AA225" s="2">
        <v>1.7575661300000001</v>
      </c>
      <c r="AB225">
        <v>1.328777278068758E-2</v>
      </c>
      <c r="AC225">
        <v>1.2160409187011336E-2</v>
      </c>
      <c r="AD225">
        <v>9.4235399453385139E-3</v>
      </c>
      <c r="AE225">
        <v>7.4202208995570495E-3</v>
      </c>
      <c r="AF225">
        <v>8.016745332553454E-3</v>
      </c>
      <c r="AG225">
        <v>2.5448181967698914E-2</v>
      </c>
      <c r="AH225">
        <v>3.4871721913037432E-2</v>
      </c>
      <c r="AI225">
        <v>4.2291942812594484E-2</v>
      </c>
      <c r="AJ225">
        <v>5.030868814514794E-2</v>
      </c>
      <c r="AK225">
        <v>2.1583949132349851E-2</v>
      </c>
      <c r="AL225">
        <v>2.90041700319069E-2</v>
      </c>
      <c r="AM225">
        <v>3.7020915364460352E-2</v>
      </c>
      <c r="AN225">
        <v>1.6843760844895563E-2</v>
      </c>
      <c r="AO225">
        <v>2.4860506177449018E-2</v>
      </c>
      <c r="AP225">
        <v>1.5436966232110504E-2</v>
      </c>
      <c r="AQ225">
        <v>3.8546442617112819E-3</v>
      </c>
      <c r="AR225">
        <v>4.4358822965728795E-3</v>
      </c>
      <c r="AS225">
        <v>2.7786297959683608E-2</v>
      </c>
      <c r="AT225">
        <v>5.9470634150285931E-2</v>
      </c>
      <c r="AU225">
        <v>4.0853103330549203</v>
      </c>
      <c r="AV225" s="5">
        <v>117.3184418</v>
      </c>
      <c r="AW225" s="6">
        <v>181.5</v>
      </c>
      <c r="AX225" s="6">
        <f t="shared" si="13"/>
        <v>5.2012556537049051</v>
      </c>
      <c r="AY225" s="5">
        <f t="shared" si="15"/>
        <v>2.3577154280328472</v>
      </c>
      <c r="AZ225" s="5">
        <f t="shared" si="14"/>
        <v>-1.0243820550328471</v>
      </c>
      <c r="BA225" s="5">
        <f>$C225-AY226</f>
        <v>-2.759521630359119</v>
      </c>
      <c r="BB225">
        <v>1.58033</v>
      </c>
      <c r="BC225">
        <v>-1.2769175074200867E-3</v>
      </c>
      <c r="BD225">
        <v>7.5999999049999998</v>
      </c>
      <c r="BE225" s="5">
        <f>BD225-AY225</f>
        <v>5.2422844769671526</v>
      </c>
      <c r="BF225" s="5">
        <f>BD225-AY226</f>
        <v>3.5071449016408804</v>
      </c>
    </row>
    <row r="226" spans="1:58" x14ac:dyDescent="0.25">
      <c r="A226" t="s">
        <v>236</v>
      </c>
      <c r="B226">
        <v>0</v>
      </c>
      <c r="C226">
        <v>1.156666636</v>
      </c>
      <c r="D226">
        <v>0</v>
      </c>
      <c r="E226">
        <v>0.35899999700000002</v>
      </c>
      <c r="F226">
        <v>4.5756486830509191</v>
      </c>
      <c r="G226">
        <v>4.5233742756859083</v>
      </c>
      <c r="H226">
        <v>4.5318468199658462</v>
      </c>
      <c r="I226">
        <v>4.4316022046171497</v>
      </c>
      <c r="J226">
        <v>5.5184483847375381</v>
      </c>
      <c r="K226">
        <v>0.24457380947188234</v>
      </c>
      <c r="L226">
        <v>225</v>
      </c>
      <c r="M226">
        <v>50625</v>
      </c>
      <c r="N226">
        <v>1.1498202825325767E-2</v>
      </c>
      <c r="O226" s="4">
        <v>4.5265056948044089</v>
      </c>
      <c r="P226" s="4">
        <v>4.5379935213414084</v>
      </c>
      <c r="Q226" s="4">
        <v>4.4402955427978572</v>
      </c>
      <c r="R226">
        <v>-1.1875549950307488E-2</v>
      </c>
      <c r="S226" s="5">
        <v>2.4710000000000001</v>
      </c>
      <c r="T226" s="5">
        <v>-1.569</v>
      </c>
      <c r="U226">
        <f t="shared" si="16"/>
        <v>2.4709999999999999E-2</v>
      </c>
      <c r="V226">
        <f t="shared" si="17"/>
        <v>-1.5689999999999999E-2</v>
      </c>
      <c r="W226" s="1">
        <v>9128642236504500</v>
      </c>
      <c r="X226" s="2">
        <v>7.6861847909999996</v>
      </c>
      <c r="Y226" s="2">
        <v>7.5923861180000003</v>
      </c>
      <c r="Z226" s="2">
        <v>9.4749022200000006</v>
      </c>
      <c r="AA226" s="2">
        <v>1.1961420169999999</v>
      </c>
      <c r="AB226">
        <v>1.7656510126841569E-2</v>
      </c>
      <c r="AC226">
        <v>1.5622180523483619E-2</v>
      </c>
      <c r="AD226">
        <v>1.1367041669437992E-2</v>
      </c>
      <c r="AE226">
        <v>7.745470260629053E-3</v>
      </c>
      <c r="AF226">
        <v>5.7100605707487637E-3</v>
      </c>
      <c r="AG226">
        <v>3.3278690650325189E-2</v>
      </c>
      <c r="AH226">
        <v>4.4645732319763182E-2</v>
      </c>
      <c r="AI226">
        <v>5.2391202580392232E-2</v>
      </c>
      <c r="AJ226">
        <v>5.8101263151140996E-2</v>
      </c>
      <c r="AK226">
        <v>2.6989222192921609E-2</v>
      </c>
      <c r="AL226">
        <v>3.473469245355066E-2</v>
      </c>
      <c r="AM226">
        <v>4.0444753024299424E-2</v>
      </c>
      <c r="AN226">
        <v>1.9112511930067046E-2</v>
      </c>
      <c r="AO226">
        <v>2.482257250081581E-2</v>
      </c>
      <c r="AP226">
        <v>1.3455530831377818E-2</v>
      </c>
      <c r="AQ226">
        <v>1.0145461348026047E-2</v>
      </c>
      <c r="AR226">
        <v>9.8741862761016416E-3</v>
      </c>
      <c r="AS226">
        <v>3.7931759307709659E-2</v>
      </c>
      <c r="AT226">
        <v>6.9344820426387566E-2</v>
      </c>
      <c r="AU226">
        <v>4.0832849794184298</v>
      </c>
      <c r="AV226" s="5">
        <v>118.16465169999999</v>
      </c>
      <c r="AW226" s="6">
        <v>183.36666666666667</v>
      </c>
      <c r="AX226" s="6">
        <f t="shared" si="13"/>
        <v>5.2114877912133029</v>
      </c>
      <c r="AY226" s="5">
        <f t="shared" si="15"/>
        <v>4.0928550033591193</v>
      </c>
      <c r="AZ226" s="5">
        <f t="shared" si="14"/>
        <v>-2.9361883673591196</v>
      </c>
      <c r="BA226" s="5">
        <f>$C226-AY227</f>
        <v>1.8116290310387939</v>
      </c>
      <c r="BB226">
        <v>1.4589639999999999</v>
      </c>
      <c r="BC226">
        <v>1.5543166039500532E-4</v>
      </c>
      <c r="BD226">
        <v>7.1199998860000004</v>
      </c>
      <c r="BE226" s="5">
        <f>BD226-AY226</f>
        <v>3.0271448826408811</v>
      </c>
      <c r="BF226" s="5">
        <f>BD226-AY227</f>
        <v>7.7749622810387944</v>
      </c>
    </row>
    <row r="227" spans="1:58" x14ac:dyDescent="0.25">
      <c r="A227" t="s">
        <v>237</v>
      </c>
      <c r="B227">
        <v>0</v>
      </c>
      <c r="C227">
        <v>1.039999962</v>
      </c>
      <c r="D227">
        <v>0</v>
      </c>
      <c r="E227">
        <v>0.35899999700000002</v>
      </c>
      <c r="F227">
        <v>4.5904016662829132</v>
      </c>
      <c r="G227">
        <v>4.5313191039122112</v>
      </c>
      <c r="H227">
        <v>4.5367336659946575</v>
      </c>
      <c r="I227">
        <v>4.456844176452095</v>
      </c>
      <c r="J227">
        <v>5.5147866947031181</v>
      </c>
      <c r="K227">
        <v>0.26224962236485577</v>
      </c>
      <c r="L227">
        <v>226</v>
      </c>
      <c r="M227">
        <v>51076</v>
      </c>
      <c r="N227">
        <v>0</v>
      </c>
      <c r="O227" s="4">
        <v>4.5311360572617225</v>
      </c>
      <c r="P227" s="4">
        <v>4.542986224032509</v>
      </c>
      <c r="Q227" s="4">
        <v>4.4786541282574737</v>
      </c>
      <c r="R227">
        <v>3.146919555202625E-2</v>
      </c>
      <c r="S227" s="5">
        <v>3.036</v>
      </c>
      <c r="T227" s="5">
        <v>4.6120000000000001</v>
      </c>
      <c r="U227">
        <f t="shared" si="16"/>
        <v>3.0360000000000002E-2</v>
      </c>
      <c r="V227">
        <f t="shared" si="17"/>
        <v>4.6120000000000001E-2</v>
      </c>
      <c r="W227" s="1">
        <v>9139809961939540</v>
      </c>
      <c r="X227" s="2">
        <v>7.7022067390000002</v>
      </c>
      <c r="Y227" s="2">
        <v>7.5900646399999996</v>
      </c>
      <c r="Z227" s="2">
        <v>9.4843139099999991</v>
      </c>
      <c r="AA227" s="2">
        <v>2.800417479</v>
      </c>
      <c r="AB227">
        <v>2.3085211378600097E-2</v>
      </c>
      <c r="AC227">
        <v>1.3889896894202152E-2</v>
      </c>
      <c r="AD227">
        <v>8.958632969068717E-3</v>
      </c>
      <c r="AE227">
        <v>7.7276831816599223E-3</v>
      </c>
      <c r="AF227">
        <v>8.0729622710846993E-3</v>
      </c>
      <c r="AG227">
        <v>3.6975108272802246E-2</v>
      </c>
      <c r="AH227">
        <v>4.5933741241870961E-2</v>
      </c>
      <c r="AI227">
        <v>5.3661424423530883E-2</v>
      </c>
      <c r="AJ227">
        <v>6.1734386694615583E-2</v>
      </c>
      <c r="AK227">
        <v>2.2848529863270871E-2</v>
      </c>
      <c r="AL227">
        <v>3.0576213044930793E-2</v>
      </c>
      <c r="AM227">
        <v>3.8649175316015492E-2</v>
      </c>
      <c r="AN227">
        <v>1.6686316150728638E-2</v>
      </c>
      <c r="AO227">
        <v>2.4759278421813337E-2</v>
      </c>
      <c r="AP227">
        <v>1.5800645452744622E-2</v>
      </c>
      <c r="AQ227">
        <v>3.7360179332038244E-3</v>
      </c>
      <c r="AR227">
        <v>5.7536405441149831E-3</v>
      </c>
      <c r="AS227">
        <v>4.1667777240913487E-2</v>
      </c>
      <c r="AT227">
        <v>7.5098460970502545E-2</v>
      </c>
      <c r="AU227">
        <v>4.1191912848143799</v>
      </c>
      <c r="AV227" s="5">
        <v>118.5183191</v>
      </c>
      <c r="AW227" s="6">
        <v>183.06666666666666</v>
      </c>
      <c r="AX227" s="6">
        <f t="shared" si="13"/>
        <v>5.2098503852257059</v>
      </c>
      <c r="AY227" s="5">
        <f t="shared" si="15"/>
        <v>-0.65496239503879394</v>
      </c>
      <c r="AZ227" s="5">
        <f t="shared" si="14"/>
        <v>1.6949623570387939</v>
      </c>
      <c r="BA227" s="5">
        <f>$C227-AY228</f>
        <v>-1.9350704420992559</v>
      </c>
      <c r="BB227">
        <v>1.432018</v>
      </c>
      <c r="BC227">
        <v>-3.6034287003279229E-3</v>
      </c>
      <c r="BD227">
        <v>6.4733333589999997</v>
      </c>
      <c r="BE227" s="5">
        <f>BD227-AY227</f>
        <v>7.1282957540387937</v>
      </c>
      <c r="BF227" s="5">
        <f>BD227-AY228</f>
        <v>3.4982629549007438</v>
      </c>
    </row>
    <row r="228" spans="1:58" x14ac:dyDescent="0.25">
      <c r="A228" t="s">
        <v>238</v>
      </c>
      <c r="B228">
        <v>0</v>
      </c>
      <c r="C228">
        <v>0.93000000699999996</v>
      </c>
      <c r="D228">
        <v>-126.4</v>
      </c>
      <c r="E228">
        <v>0.35899999700000002</v>
      </c>
      <c r="F228">
        <v>4.593340490234513</v>
      </c>
      <c r="G228">
        <v>4.5479435345258912</v>
      </c>
      <c r="H228">
        <v>4.5467083674380957</v>
      </c>
      <c r="I228">
        <v>4.4885464780515543</v>
      </c>
      <c r="J228">
        <v>5.5172279715726065</v>
      </c>
      <c r="K228">
        <v>0.26921148755055868</v>
      </c>
      <c r="L228">
        <v>227</v>
      </c>
      <c r="M228">
        <v>51529</v>
      </c>
      <c r="N228">
        <v>3.7245301187307529E-3</v>
      </c>
      <c r="O228" s="4">
        <v>4.5505661539940503</v>
      </c>
      <c r="P228" s="4">
        <v>4.5498054566515052</v>
      </c>
      <c r="Q228" s="4">
        <v>4.5179987961970962</v>
      </c>
      <c r="R228">
        <v>-1.2908260152983674E-2</v>
      </c>
      <c r="S228" s="5">
        <v>2.7240000000000002</v>
      </c>
      <c r="T228" s="5">
        <v>-1.4319999999999999</v>
      </c>
      <c r="U228">
        <f t="shared" si="16"/>
        <v>2.724E-2</v>
      </c>
      <c r="V228">
        <f t="shared" si="17"/>
        <v>-1.4319999999999999E-2</v>
      </c>
      <c r="W228" s="1">
        <v>9154371638421220</v>
      </c>
      <c r="X228" s="2">
        <v>7.7024487940000004</v>
      </c>
      <c r="Y228" s="2">
        <v>7.557271654</v>
      </c>
      <c r="Z228" s="2">
        <v>9.5010678029999998</v>
      </c>
      <c r="AA228" s="2">
        <v>1.8812474960000001</v>
      </c>
      <c r="AB228">
        <v>3.4550014202965234E-3</v>
      </c>
      <c r="AC228">
        <v>8.0072726304797545E-3</v>
      </c>
      <c r="AD228">
        <v>7.6924690662762297E-3</v>
      </c>
      <c r="AE228">
        <v>8.0875957114010157E-3</v>
      </c>
      <c r="AF228">
        <v>7.4129356124224425E-3</v>
      </c>
      <c r="AG228">
        <v>1.1462274050776277E-2</v>
      </c>
      <c r="AH228">
        <v>1.9154743117052508E-2</v>
      </c>
      <c r="AI228">
        <v>2.7242338828453526E-2</v>
      </c>
      <c r="AJ228">
        <v>3.4655274440875967E-2</v>
      </c>
      <c r="AK228">
        <v>1.5699741696755982E-2</v>
      </c>
      <c r="AL228">
        <v>2.3787337408157E-2</v>
      </c>
      <c r="AM228">
        <v>3.1200273020579442E-2</v>
      </c>
      <c r="AN228">
        <v>1.5780064777677245E-2</v>
      </c>
      <c r="AO228">
        <v>2.3193000390099687E-2</v>
      </c>
      <c r="AP228">
        <v>1.5500531323823459E-2</v>
      </c>
      <c r="AQ228">
        <v>-9.8657445397265509E-4</v>
      </c>
      <c r="AR228">
        <v>-9.7194101365633695E-4</v>
      </c>
      <c r="AS228">
        <v>4.0681202786940832E-2</v>
      </c>
      <c r="AT228">
        <v>7.4126519956846215E-2</v>
      </c>
      <c r="AU228">
        <v>4.1152993166543101</v>
      </c>
      <c r="AV228" s="5">
        <v>119.1861327</v>
      </c>
      <c r="AW228" s="6">
        <v>184.43333333333334</v>
      </c>
      <c r="AX228" s="6">
        <f t="shared" si="13"/>
        <v>5.217288061235954</v>
      </c>
      <c r="AY228" s="5">
        <f t="shared" si="15"/>
        <v>2.9750704040992559</v>
      </c>
      <c r="AZ228" s="5">
        <f t="shared" si="14"/>
        <v>-2.0450703970992561</v>
      </c>
      <c r="BA228" s="5">
        <f>$C228-AY229</f>
        <v>-0.585289980454338</v>
      </c>
      <c r="BB228">
        <v>1.4125749999999999</v>
      </c>
      <c r="BC228">
        <v>-1.5710988088398561E-3</v>
      </c>
      <c r="BD228">
        <v>6.8066668510000001</v>
      </c>
      <c r="BE228" s="5">
        <f>BD228-AY228</f>
        <v>3.8315964469007442</v>
      </c>
      <c r="BF228" s="5">
        <f>BD228-AY229</f>
        <v>5.2913768635456622</v>
      </c>
    </row>
    <row r="229" spans="1:58" x14ac:dyDescent="0.25">
      <c r="A229" t="s">
        <v>239</v>
      </c>
      <c r="B229">
        <v>0</v>
      </c>
      <c r="C229">
        <v>0.91666668699999998</v>
      </c>
      <c r="D229">
        <v>0</v>
      </c>
      <c r="E229">
        <v>0.35899999700000002</v>
      </c>
      <c r="F229">
        <v>4.5940586812333724</v>
      </c>
      <c r="G229">
        <v>4.5569038845785999</v>
      </c>
      <c r="H229">
        <v>4.5520926630215071</v>
      </c>
      <c r="I229">
        <v>4.5062775970117386</v>
      </c>
      <c r="J229">
        <v>5.5211848797672367</v>
      </c>
      <c r="K229">
        <v>0.27270167174989873</v>
      </c>
      <c r="L229">
        <v>228</v>
      </c>
      <c r="M229">
        <v>51984</v>
      </c>
      <c r="N229">
        <v>6.9475909983386193E-3</v>
      </c>
      <c r="O229" s="4">
        <v>4.5545713872247218</v>
      </c>
      <c r="P229" s="4">
        <v>4.5556437508376897</v>
      </c>
      <c r="Q229" s="4">
        <v>4.5244372401549953</v>
      </c>
      <c r="R229">
        <v>-7.3821381286679009E-4</v>
      </c>
      <c r="S229" s="5">
        <v>1.556</v>
      </c>
      <c r="T229" s="5">
        <v>-0.73799999999999999</v>
      </c>
      <c r="U229">
        <f t="shared" si="16"/>
        <v>1.5560000000000001E-2</v>
      </c>
      <c r="V229">
        <f t="shared" si="17"/>
        <v>-7.3800000000000003E-3</v>
      </c>
      <c r="W229" s="1">
        <v>9161129329249790</v>
      </c>
      <c r="X229" s="2">
        <v>7.7094337990000001</v>
      </c>
      <c r="Y229" s="2">
        <v>7.6191829289999999</v>
      </c>
      <c r="Z229" s="2">
        <v>9.5123468580000008</v>
      </c>
      <c r="AA229" s="2">
        <v>2.9257048029999999</v>
      </c>
      <c r="AB229">
        <v>9.1957253204739721E-3</v>
      </c>
      <c r="AC229">
        <v>9.0161867694134503E-3</v>
      </c>
      <c r="AD229">
        <v>1.0490769800956172E-2</v>
      </c>
      <c r="AE229">
        <v>1.2099232501123998E-2</v>
      </c>
      <c r="AF229">
        <v>6.9389562987435408E-3</v>
      </c>
      <c r="AG229">
        <v>1.8211912089887421E-2</v>
      </c>
      <c r="AH229">
        <v>2.8702681890843594E-2</v>
      </c>
      <c r="AI229">
        <v>4.0801914391967592E-2</v>
      </c>
      <c r="AJ229">
        <v>4.7740870690711132E-2</v>
      </c>
      <c r="AK229">
        <v>1.9506956570369622E-2</v>
      </c>
      <c r="AL229">
        <v>3.1606189071493623E-2</v>
      </c>
      <c r="AM229">
        <v>3.8545145370237163E-2</v>
      </c>
      <c r="AN229">
        <v>2.2590002302080171E-2</v>
      </c>
      <c r="AO229">
        <v>2.9528958600823711E-2</v>
      </c>
      <c r="AP229">
        <v>1.9038188799867538E-2</v>
      </c>
      <c r="AQ229">
        <v>3.7268917926923766E-3</v>
      </c>
      <c r="AR229">
        <v>8.4131886813939363E-3</v>
      </c>
      <c r="AS229">
        <v>4.4408094579633212E-2</v>
      </c>
      <c r="AT229">
        <v>8.2539708638240145E-2</v>
      </c>
      <c r="AU229">
        <v>4.1293600094109397</v>
      </c>
      <c r="AV229" s="5">
        <v>119.81046929999999</v>
      </c>
      <c r="AW229" s="6">
        <v>185.13333333333333</v>
      </c>
      <c r="AX229" s="6">
        <f t="shared" si="13"/>
        <v>5.2210762862045899</v>
      </c>
      <c r="AY229" s="5">
        <f t="shared" si="15"/>
        <v>1.515289987454338</v>
      </c>
      <c r="AZ229" s="5">
        <f t="shared" si="14"/>
        <v>-0.59862330045433798</v>
      </c>
      <c r="BA229" s="5">
        <f>$C229-AY230</f>
        <v>-2.4540390502346581</v>
      </c>
      <c r="BB229">
        <v>1.443317</v>
      </c>
      <c r="BC229">
        <v>1.663873836849409E-3</v>
      </c>
      <c r="BD229">
        <v>6.6633334160000004</v>
      </c>
      <c r="BE229" s="5">
        <f>BD229-AY229</f>
        <v>5.1480434285456624</v>
      </c>
      <c r="BF229" s="5">
        <f>BD229-AY230</f>
        <v>3.2926276787653421</v>
      </c>
    </row>
    <row r="230" spans="1:58" x14ac:dyDescent="0.25">
      <c r="A230" t="s">
        <v>240</v>
      </c>
      <c r="B230">
        <v>0</v>
      </c>
      <c r="C230">
        <v>0.91666668699999998</v>
      </c>
      <c r="D230">
        <v>0</v>
      </c>
      <c r="E230">
        <v>0.35800000999999998</v>
      </c>
      <c r="F230">
        <v>4.5988100028354086</v>
      </c>
      <c r="G230">
        <v>4.5639210169084414</v>
      </c>
      <c r="H230">
        <v>4.5613683731950418</v>
      </c>
      <c r="I230">
        <v>4.504288514206837</v>
      </c>
      <c r="J230">
        <v>5.525934894685693</v>
      </c>
      <c r="K230">
        <v>0.26165563581558915</v>
      </c>
      <c r="L230">
        <v>229</v>
      </c>
      <c r="M230">
        <v>52441</v>
      </c>
      <c r="N230">
        <v>0</v>
      </c>
      <c r="O230" s="4">
        <v>4.5639522797718097</v>
      </c>
      <c r="P230" s="4">
        <v>4.5648897114860683</v>
      </c>
      <c r="Q230" s="4">
        <v>4.5354449034965256</v>
      </c>
      <c r="R230">
        <v>3.7297355591049044E-3</v>
      </c>
      <c r="S230" s="5">
        <v>2.149</v>
      </c>
      <c r="T230" s="5">
        <v>-0.125</v>
      </c>
      <c r="U230">
        <f t="shared" si="16"/>
        <v>2.1489999999999999E-2</v>
      </c>
      <c r="V230">
        <f t="shared" si="17"/>
        <v>-1.25E-3</v>
      </c>
      <c r="W230" s="1">
        <v>9169987746451730</v>
      </c>
      <c r="X230" s="2">
        <v>7.7221968539999999</v>
      </c>
      <c r="Y230" s="2">
        <v>7.6037351620000004</v>
      </c>
      <c r="Z230" s="2">
        <v>9.5183102480000006</v>
      </c>
      <c r="AA230" s="2">
        <v>2.8890376209999999</v>
      </c>
      <c r="AB230">
        <v>1.4369976542858778E-2</v>
      </c>
      <c r="AC230">
        <v>1.0613067558509668E-2</v>
      </c>
      <c r="AD230">
        <v>6.807876204154642E-3</v>
      </c>
      <c r="AE230">
        <v>4.9471971861864746E-3</v>
      </c>
      <c r="AF230">
        <v>3.4168164605937195E-3</v>
      </c>
      <c r="AG230">
        <v>2.4983044101368444E-2</v>
      </c>
      <c r="AH230">
        <v>3.1790920305523086E-2</v>
      </c>
      <c r="AI230">
        <v>3.6738117491709563E-2</v>
      </c>
      <c r="AJ230">
        <v>4.0154933952303282E-2</v>
      </c>
      <c r="AK230">
        <v>1.7420943762664308E-2</v>
      </c>
      <c r="AL230">
        <v>2.2368140948850784E-2</v>
      </c>
      <c r="AM230">
        <v>2.5784957409444503E-2</v>
      </c>
      <c r="AN230">
        <v>1.1755073390341117E-2</v>
      </c>
      <c r="AO230">
        <v>1.5171889850934836E-2</v>
      </c>
      <c r="AP230">
        <v>8.3640136467801936E-3</v>
      </c>
      <c r="AQ230">
        <v>-5.1690585394158634E-3</v>
      </c>
      <c r="AR230">
        <v>-7.1608176519729269E-3</v>
      </c>
      <c r="AS230">
        <v>3.9239036040217348E-2</v>
      </c>
      <c r="AT230">
        <v>7.5378890986267211E-2</v>
      </c>
      <c r="AU230">
        <v>4.1487645289875896</v>
      </c>
      <c r="AV230" s="5">
        <v>120.85578219999999</v>
      </c>
      <c r="AW230" s="6">
        <v>186.7</v>
      </c>
      <c r="AX230" s="6">
        <f t="shared" si="13"/>
        <v>5.2295030505476765</v>
      </c>
      <c r="AY230" s="5">
        <f t="shared" si="15"/>
        <v>3.3707057372346583</v>
      </c>
      <c r="AZ230" s="5">
        <f t="shared" si="14"/>
        <v>-2.4540390502346581</v>
      </c>
      <c r="BA230" s="5">
        <f>$C230-AY231</f>
        <v>-2.213351062572289</v>
      </c>
      <c r="BB230">
        <v>1.3685290000000001</v>
      </c>
      <c r="BC230">
        <v>-2.0296767546964531E-3</v>
      </c>
      <c r="BD230">
        <v>6.2733335490000002</v>
      </c>
      <c r="BE230" s="5">
        <f>BD230-AY230</f>
        <v>2.9026278117653419</v>
      </c>
      <c r="BF230" s="5">
        <f>BD230-AY231</f>
        <v>3.143315799427711</v>
      </c>
    </row>
    <row r="231" spans="1:58" x14ac:dyDescent="0.25">
      <c r="A231" t="s">
        <v>241</v>
      </c>
      <c r="B231">
        <v>0</v>
      </c>
      <c r="C231">
        <v>1.076666594</v>
      </c>
      <c r="D231">
        <v>0</v>
      </c>
      <c r="E231">
        <v>0.35800000999999998</v>
      </c>
      <c r="F231">
        <v>4.602466534413777</v>
      </c>
      <c r="G231">
        <v>4.5710030818150873</v>
      </c>
      <c r="H231">
        <v>4.5665287825625223</v>
      </c>
      <c r="I231">
        <v>4.5346296889748858</v>
      </c>
      <c r="J231">
        <v>5.5265479569108038</v>
      </c>
      <c r="K231">
        <v>0.26696129619053521</v>
      </c>
      <c r="L231">
        <v>230</v>
      </c>
      <c r="M231">
        <v>52900</v>
      </c>
      <c r="N231">
        <v>2.1556927534232399E-3</v>
      </c>
      <c r="O231" s="4">
        <v>4.566606057236088</v>
      </c>
      <c r="P231" s="4">
        <v>4.5709202977882182</v>
      </c>
      <c r="Q231" s="4">
        <v>4.5424327086636476</v>
      </c>
      <c r="R231">
        <v>-4.9514093896567074E-3</v>
      </c>
      <c r="S231" s="5">
        <v>2.3029999999999999</v>
      </c>
      <c r="T231" s="5">
        <v>1.0999999999999999E-2</v>
      </c>
      <c r="U231">
        <f t="shared" si="16"/>
        <v>2.3029999999999998E-2</v>
      </c>
      <c r="V231">
        <f t="shared" si="17"/>
        <v>1.0999999999999999E-4</v>
      </c>
      <c r="W231" s="1">
        <v>9176190237682260</v>
      </c>
      <c r="X231" s="2">
        <v>7.7313724300000004</v>
      </c>
      <c r="Y231" s="2">
        <v>7.6200073450000003</v>
      </c>
      <c r="Z231" s="2">
        <v>9.5259318289999992</v>
      </c>
      <c r="AA231" s="2">
        <v>2.7582641130000001</v>
      </c>
      <c r="AB231">
        <v>1.0480170133574404E-2</v>
      </c>
      <c r="AC231">
        <v>8.727693198041989E-3</v>
      </c>
      <c r="AD231">
        <v>6.0998443068634211E-3</v>
      </c>
      <c r="AE231">
        <v>5.2634734748710941E-3</v>
      </c>
      <c r="AF231">
        <v>7.2604088308643117E-3</v>
      </c>
      <c r="AG231">
        <v>1.9207863331616393E-2</v>
      </c>
      <c r="AH231">
        <v>2.5307707638479813E-2</v>
      </c>
      <c r="AI231">
        <v>3.0571181113350908E-2</v>
      </c>
      <c r="AJ231">
        <v>3.7831589944215219E-2</v>
      </c>
      <c r="AK231">
        <v>1.4827537504905411E-2</v>
      </c>
      <c r="AL231">
        <v>2.0091010979776506E-2</v>
      </c>
      <c r="AM231">
        <v>2.7351419810640817E-2</v>
      </c>
      <c r="AN231">
        <v>1.1363317781734515E-2</v>
      </c>
      <c r="AO231">
        <v>1.8623726612598826E-2</v>
      </c>
      <c r="AP231">
        <v>1.2523882305735406E-2</v>
      </c>
      <c r="AQ231">
        <v>3.0724641145642943E-3</v>
      </c>
      <c r="AR231">
        <v>4.9191211288416702E-3</v>
      </c>
      <c r="AS231">
        <v>4.2311500154781641E-2</v>
      </c>
      <c r="AT231">
        <v>8.0298012115108883E-2</v>
      </c>
      <c r="AU231">
        <v>4.1327655556317797</v>
      </c>
      <c r="AV231" s="5">
        <v>121.8778779</v>
      </c>
      <c r="AW231" s="6">
        <v>188.16666666666666</v>
      </c>
      <c r="AX231" s="6">
        <f t="shared" si="13"/>
        <v>5.2373280949216072</v>
      </c>
      <c r="AY231" s="5">
        <f t="shared" si="15"/>
        <v>3.1300177495722892</v>
      </c>
      <c r="AZ231" s="5">
        <f t="shared" si="14"/>
        <v>-2.0533511555722894</v>
      </c>
      <c r="BA231" s="5">
        <f>$C231-AY232</f>
        <v>-1.4661637953455962</v>
      </c>
      <c r="BB231">
        <v>1.455222</v>
      </c>
      <c r="BC231">
        <v>-3.1011080248773098E-3</v>
      </c>
      <c r="BD231">
        <v>6.6633334160000004</v>
      </c>
      <c r="BE231" s="5">
        <f>BD231-AY231</f>
        <v>3.5333156664277112</v>
      </c>
      <c r="BF231" s="5">
        <f>BD231-AY232</f>
        <v>4.1205030266544043</v>
      </c>
    </row>
    <row r="232" spans="1:58" x14ac:dyDescent="0.25">
      <c r="A232" t="s">
        <v>242</v>
      </c>
      <c r="B232">
        <v>0</v>
      </c>
      <c r="C232">
        <v>1.486666679</v>
      </c>
      <c r="D232">
        <v>0</v>
      </c>
      <c r="E232">
        <v>0.35800000999999998</v>
      </c>
      <c r="F232">
        <v>4.6061097444647574</v>
      </c>
      <c r="G232">
        <v>4.5783230039791123</v>
      </c>
      <c r="H232">
        <v>4.5734645150833027</v>
      </c>
      <c r="I232">
        <v>4.5556227351494778</v>
      </c>
      <c r="J232">
        <v>5.5304484090964579</v>
      </c>
      <c r="K232">
        <v>0.27646589450384212</v>
      </c>
      <c r="L232">
        <v>231</v>
      </c>
      <c r="M232">
        <v>53361</v>
      </c>
      <c r="N232">
        <v>0</v>
      </c>
      <c r="O232" s="4">
        <v>4.5738962136829633</v>
      </c>
      <c r="P232" s="4">
        <v>4.5777373223368469</v>
      </c>
      <c r="Q232" s="4">
        <v>4.5619285999490691</v>
      </c>
      <c r="R232">
        <v>8.4777251336545529E-3</v>
      </c>
      <c r="S232" s="5">
        <v>2.2810000000000001</v>
      </c>
      <c r="T232" s="5">
        <v>-0.91700000000000004</v>
      </c>
      <c r="U232">
        <f t="shared" si="16"/>
        <v>2.281E-2</v>
      </c>
      <c r="V232">
        <f t="shared" si="17"/>
        <v>-9.1700000000000011E-3</v>
      </c>
      <c r="W232" s="1">
        <v>9187188012586600</v>
      </c>
      <c r="X232" s="2">
        <v>7.7404037859999999</v>
      </c>
      <c r="Y232" s="2">
        <v>7.6588768030000001</v>
      </c>
      <c r="Z232" s="2">
        <v>9.5346677290000006</v>
      </c>
      <c r="AA232" s="2">
        <v>2.101544638</v>
      </c>
      <c r="AB232">
        <v>1.0349269026764729E-2</v>
      </c>
      <c r="AC232">
        <v>6.0505389443649303E-3</v>
      </c>
      <c r="AD232">
        <v>6.3474381208927328E-3</v>
      </c>
      <c r="AE232">
        <v>5.6508637163086694E-3</v>
      </c>
      <c r="AF232">
        <v>4.9219145993350663E-3</v>
      </c>
      <c r="AG232">
        <v>1.6399807971129658E-2</v>
      </c>
      <c r="AH232">
        <v>2.2747246092022392E-2</v>
      </c>
      <c r="AI232">
        <v>2.839810980833106E-2</v>
      </c>
      <c r="AJ232">
        <v>3.3320024407666127E-2</v>
      </c>
      <c r="AK232">
        <v>1.2397977065257663E-2</v>
      </c>
      <c r="AL232">
        <v>1.8048840781566333E-2</v>
      </c>
      <c r="AM232">
        <v>2.29707553809014E-2</v>
      </c>
      <c r="AN232">
        <v>1.1998301837201401E-2</v>
      </c>
      <c r="AO232">
        <v>1.6920216436536469E-2</v>
      </c>
      <c r="AP232">
        <v>1.0572778315643735E-2</v>
      </c>
      <c r="AQ232">
        <v>1.0346592835231479E-3</v>
      </c>
      <c r="AR232">
        <v>-5.7488583103249349E-4</v>
      </c>
      <c r="AS232">
        <v>4.334615943830479E-2</v>
      </c>
      <c r="AT232">
        <v>7.9723126284076393E-2</v>
      </c>
      <c r="AU232">
        <v>4.15015965305584</v>
      </c>
      <c r="AV232" s="5">
        <v>122.7568284</v>
      </c>
      <c r="AW232" s="6">
        <v>189.36666666666667</v>
      </c>
      <c r="AX232" s="6">
        <f t="shared" si="13"/>
        <v>5.2436851708949712</v>
      </c>
      <c r="AY232" s="5">
        <f t="shared" si="15"/>
        <v>2.5428303893455961</v>
      </c>
      <c r="AZ232" s="5">
        <f t="shared" si="14"/>
        <v>-1.0561637103455961</v>
      </c>
      <c r="BA232" s="5">
        <f>$C232-AY233</f>
        <v>-2.7854565705530616</v>
      </c>
      <c r="BB232">
        <v>1.506691</v>
      </c>
      <c r="BC232">
        <v>1.5607970350364183E-3</v>
      </c>
      <c r="BD232">
        <v>6.4499998090000004</v>
      </c>
      <c r="BE232" s="5">
        <f>BD232-AY232</f>
        <v>3.9071694196544042</v>
      </c>
      <c r="BF232" s="5">
        <f>BD232-AY233</f>
        <v>2.1778765594469389</v>
      </c>
    </row>
    <row r="233" spans="1:58" x14ac:dyDescent="0.25">
      <c r="A233" t="s">
        <v>243</v>
      </c>
      <c r="B233">
        <v>0</v>
      </c>
      <c r="C233">
        <v>2.00666666</v>
      </c>
      <c r="D233">
        <v>0</v>
      </c>
      <c r="E233">
        <v>0.35800000999999998</v>
      </c>
      <c r="F233">
        <v>4.599976723276737</v>
      </c>
      <c r="G233">
        <v>4.5869552975671866</v>
      </c>
      <c r="H233">
        <v>4.5841930862530864</v>
      </c>
      <c r="I233">
        <v>4.5724300285984194</v>
      </c>
      <c r="J233">
        <v>5.533346009521444</v>
      </c>
      <c r="K233">
        <v>0.27932468076120354</v>
      </c>
      <c r="L233">
        <v>232</v>
      </c>
      <c r="M233">
        <v>53824</v>
      </c>
      <c r="N233">
        <v>0</v>
      </c>
      <c r="O233" s="4">
        <v>4.5842018795518946</v>
      </c>
      <c r="P233" s="4">
        <v>4.5886240505618652</v>
      </c>
      <c r="Q233" s="4">
        <v>4.5782100044053085</v>
      </c>
      <c r="R233">
        <v>-1.8445791070234602E-2</v>
      </c>
      <c r="S233" s="5">
        <v>1.8640000000000001</v>
      </c>
      <c r="T233" s="5">
        <v>-0.91700000000000004</v>
      </c>
      <c r="U233">
        <f t="shared" si="16"/>
        <v>1.864E-2</v>
      </c>
      <c r="V233">
        <f t="shared" si="17"/>
        <v>-9.1700000000000011E-3</v>
      </c>
      <c r="W233" s="1">
        <v>9198006218073220</v>
      </c>
      <c r="X233" s="2">
        <v>7.7392665679999997</v>
      </c>
      <c r="Y233" s="2">
        <v>7.6767399750000003</v>
      </c>
      <c r="Z233" s="2">
        <v>9.5430698990000007</v>
      </c>
      <c r="AA233" s="2">
        <v>2.823695109</v>
      </c>
      <c r="AB233">
        <v>7.4090639576942273E-3</v>
      </c>
      <c r="AC233">
        <v>7.2445114223159508E-3</v>
      </c>
      <c r="AD233">
        <v>6.3720049634499575E-3</v>
      </c>
      <c r="AE233">
        <v>5.7980414127689088E-3</v>
      </c>
      <c r="AF233">
        <v>5.4031591323724102E-3</v>
      </c>
      <c r="AG233">
        <v>1.4653575380010178E-2</v>
      </c>
      <c r="AH233">
        <v>2.1025580343460137E-2</v>
      </c>
      <c r="AI233">
        <v>2.6823621756229047E-2</v>
      </c>
      <c r="AJ233">
        <v>3.222678088860146E-2</v>
      </c>
      <c r="AK233">
        <v>1.3616516385765907E-2</v>
      </c>
      <c r="AL233">
        <v>1.9414557798534817E-2</v>
      </c>
      <c r="AM233">
        <v>2.4817716930907226E-2</v>
      </c>
      <c r="AN233">
        <v>1.2170046376218865E-2</v>
      </c>
      <c r="AO233">
        <v>1.7573205508591275E-2</v>
      </c>
      <c r="AP233">
        <v>1.1201200545141319E-2</v>
      </c>
      <c r="AQ233">
        <v>1.6182145485645061E-3</v>
      </c>
      <c r="AR233">
        <v>2.4943413619983486E-3</v>
      </c>
      <c r="AS233">
        <v>4.4964373986869297E-2</v>
      </c>
      <c r="AT233">
        <v>8.2217467646074738E-2</v>
      </c>
      <c r="AU233">
        <v>4.1665080763621596</v>
      </c>
      <c r="AV233" s="5">
        <v>123.6814502</v>
      </c>
      <c r="AW233" s="6">
        <v>191.4</v>
      </c>
      <c r="AX233" s="6">
        <f t="shared" si="13"/>
        <v>5.2543654790188539</v>
      </c>
      <c r="AY233" s="5">
        <f t="shared" si="15"/>
        <v>4.2721232495530614</v>
      </c>
      <c r="AZ233" s="5">
        <f t="shared" si="14"/>
        <v>-2.2654565895530614</v>
      </c>
      <c r="BA233" s="5">
        <f>$C233-AY234</f>
        <v>-8.4509519828306345E-3</v>
      </c>
      <c r="BB233">
        <v>1.458585</v>
      </c>
      <c r="BC233">
        <v>-1.0476686411080146E-3</v>
      </c>
      <c r="BD233">
        <v>6.1866664890000003</v>
      </c>
      <c r="BE233" s="5">
        <f>BD233-AY233</f>
        <v>1.9145432394469388</v>
      </c>
      <c r="BF233" s="5">
        <f>BD233-AY234</f>
        <v>4.1715488770171696</v>
      </c>
    </row>
    <row r="234" spans="1:58" x14ac:dyDescent="0.25">
      <c r="A234" t="s">
        <v>244</v>
      </c>
      <c r="B234">
        <v>0</v>
      </c>
      <c r="C234">
        <v>2.5366666320000002</v>
      </c>
      <c r="D234">
        <v>68.099999999999994</v>
      </c>
      <c r="E234">
        <v>0.351000011</v>
      </c>
      <c r="F234">
        <v>4.6009312142287913</v>
      </c>
      <c r="G234">
        <v>4.5968859664003938</v>
      </c>
      <c r="H234">
        <v>4.5917615249447472</v>
      </c>
      <c r="I234">
        <v>4.5846408947355988</v>
      </c>
      <c r="J234">
        <v>5.5389982361843693</v>
      </c>
      <c r="K234">
        <v>0.27782367389671314</v>
      </c>
      <c r="L234">
        <v>233</v>
      </c>
      <c r="M234">
        <v>54289</v>
      </c>
      <c r="N234">
        <v>8.2339088835642945E-3</v>
      </c>
      <c r="O234" s="4">
        <v>4.5955742923146445</v>
      </c>
      <c r="P234" s="4">
        <v>4.5948976032173512</v>
      </c>
      <c r="Q234" s="4">
        <v>4.5848858426853845</v>
      </c>
      <c r="R234">
        <v>-3.0822446180382209E-3</v>
      </c>
      <c r="S234" s="5">
        <v>2.3340000000000001</v>
      </c>
      <c r="T234" s="5">
        <v>-1.78</v>
      </c>
      <c r="U234">
        <f t="shared" si="16"/>
        <v>2.334E-2</v>
      </c>
      <c r="V234">
        <f t="shared" si="17"/>
        <v>-1.78E-2</v>
      </c>
      <c r="W234" s="1">
        <v>9203823986378370</v>
      </c>
      <c r="X234" s="2">
        <v>7.7476054459999997</v>
      </c>
      <c r="Y234" s="2">
        <v>7.7433686560000003</v>
      </c>
      <c r="Z234" s="2">
        <v>9.5539442609999998</v>
      </c>
      <c r="AA234" s="2">
        <v>2.5232690710000001</v>
      </c>
      <c r="AB234">
        <v>7.9049193744254453E-3</v>
      </c>
      <c r="AC234">
        <v>6.600292127894496E-3</v>
      </c>
      <c r="AD234">
        <v>6.099200755693918E-3</v>
      </c>
      <c r="AE234">
        <v>4.6076242432827683E-3</v>
      </c>
      <c r="AF234">
        <v>4.7229993232174704E-3</v>
      </c>
      <c r="AG234">
        <v>1.4505211502319941E-2</v>
      </c>
      <c r="AH234">
        <v>2.0604412258013859E-2</v>
      </c>
      <c r="AI234">
        <v>2.5212036501296629E-2</v>
      </c>
      <c r="AJ234">
        <v>2.9935035824514102E-2</v>
      </c>
      <c r="AK234">
        <v>1.2699492883588414E-2</v>
      </c>
      <c r="AL234">
        <v>1.7307117126871184E-2</v>
      </c>
      <c r="AM234">
        <v>2.2030116450088656E-2</v>
      </c>
      <c r="AN234">
        <v>1.0706824998976686E-2</v>
      </c>
      <c r="AO234">
        <v>1.5429824322194157E-2</v>
      </c>
      <c r="AP234">
        <v>9.3306235665002388E-3</v>
      </c>
      <c r="AQ234">
        <v>5.2944650736954854E-4</v>
      </c>
      <c r="AR234">
        <v>-2.6608838172009069E-4</v>
      </c>
      <c r="AS234">
        <v>4.5493820494238849E-2</v>
      </c>
      <c r="AT234">
        <v>8.195137926435464E-2</v>
      </c>
      <c r="AU234">
        <v>4.1697036406463299</v>
      </c>
      <c r="AV234" s="5">
        <v>124.82480459999999</v>
      </c>
      <c r="AW234" s="6">
        <v>192.36666666666667</v>
      </c>
      <c r="AX234" s="6">
        <f t="shared" si="13"/>
        <v>5.2594032730488109</v>
      </c>
      <c r="AY234" s="5">
        <f t="shared" si="15"/>
        <v>2.0151176119828307</v>
      </c>
      <c r="AZ234" s="5">
        <f t="shared" si="14"/>
        <v>0.52154902001716952</v>
      </c>
      <c r="BA234" s="5">
        <f>$C234-AY235</f>
        <v>-0.15741142199630698</v>
      </c>
      <c r="BB234">
        <v>1.498262</v>
      </c>
      <c r="BC234">
        <v>-6.8160566665852532E-6</v>
      </c>
      <c r="BD234">
        <v>5.966666698</v>
      </c>
      <c r="BE234" s="5">
        <f>BD234-AY234</f>
        <v>3.9515490860171694</v>
      </c>
      <c r="BF234" s="5">
        <f>BD234-AY235</f>
        <v>3.2725886440036929</v>
      </c>
    </row>
    <row r="235" spans="1:58" x14ac:dyDescent="0.25">
      <c r="A235" t="s">
        <v>245</v>
      </c>
      <c r="B235">
        <v>0</v>
      </c>
      <c r="C235">
        <v>2.8633332249999999</v>
      </c>
      <c r="D235">
        <v>0</v>
      </c>
      <c r="E235">
        <v>0.351000011</v>
      </c>
      <c r="F235">
        <v>4.6020152142947905</v>
      </c>
      <c r="G235">
        <v>4.6011420840676553</v>
      </c>
      <c r="H235">
        <v>4.5987283862770036</v>
      </c>
      <c r="I235">
        <v>4.6022057965240757</v>
      </c>
      <c r="J235">
        <v>5.5437232626695208</v>
      </c>
      <c r="K235">
        <v>0.27618291214977581</v>
      </c>
      <c r="L235">
        <v>234</v>
      </c>
      <c r="M235">
        <v>54756</v>
      </c>
      <c r="N235">
        <v>0</v>
      </c>
      <c r="O235" s="4">
        <v>4.6016640466588035</v>
      </c>
      <c r="P235" s="4">
        <v>4.6021656769677923</v>
      </c>
      <c r="Q235" s="4">
        <v>4.6124734520982118</v>
      </c>
      <c r="R235">
        <v>-5.6329843409832761E-3</v>
      </c>
      <c r="S235" s="5">
        <v>2.0310000000000001</v>
      </c>
      <c r="T235" s="5">
        <v>-2.8000000000000001E-2</v>
      </c>
      <c r="U235">
        <f t="shared" si="16"/>
        <v>2.0310000000000002E-2</v>
      </c>
      <c r="V235">
        <f t="shared" si="17"/>
        <v>-2.8000000000000003E-4</v>
      </c>
      <c r="W235" s="1">
        <v>9215105600220240</v>
      </c>
      <c r="X235" s="2">
        <v>7.7507437149999996</v>
      </c>
      <c r="Y235" s="2">
        <v>7.7493789770000001</v>
      </c>
      <c r="Z235" s="2">
        <v>9.5593903190000002</v>
      </c>
      <c r="AA235" s="2">
        <v>1.311864562</v>
      </c>
      <c r="AB235">
        <v>6.8214330198544922E-3</v>
      </c>
      <c r="AC235">
        <v>5.9630350752384372E-3</v>
      </c>
      <c r="AD235">
        <v>5.6870677261288858E-3</v>
      </c>
      <c r="AE235">
        <v>4.8821597112618433E-3</v>
      </c>
      <c r="AF235">
        <v>5.2083270272236934E-3</v>
      </c>
      <c r="AG235">
        <v>1.278446809509293E-2</v>
      </c>
      <c r="AH235">
        <v>1.8471535821221817E-2</v>
      </c>
      <c r="AI235">
        <v>2.3353695532483662E-2</v>
      </c>
      <c r="AJ235">
        <v>2.8562022559707356E-2</v>
      </c>
      <c r="AK235">
        <v>1.1650102801367322E-2</v>
      </c>
      <c r="AL235">
        <v>1.6532262512629167E-2</v>
      </c>
      <c r="AM235">
        <v>2.1740589539852861E-2</v>
      </c>
      <c r="AN235">
        <v>1.0569227437390728E-2</v>
      </c>
      <c r="AO235">
        <v>1.5777554464614423E-2</v>
      </c>
      <c r="AP235">
        <v>1.0090486738485536E-2</v>
      </c>
      <c r="AQ235">
        <v>9.4327780239063588E-4</v>
      </c>
      <c r="AR235">
        <v>1.1024381904350105E-3</v>
      </c>
      <c r="AS235">
        <v>4.6437098296629481E-2</v>
      </c>
      <c r="AT235">
        <v>8.3053817454789652E-2</v>
      </c>
      <c r="AU235">
        <v>4.1865476440333502</v>
      </c>
      <c r="AV235" s="5">
        <v>125.6732063</v>
      </c>
      <c r="AW235" s="6">
        <v>193.66666666666666</v>
      </c>
      <c r="AX235" s="6">
        <f t="shared" si="13"/>
        <v>5.2661384681838017</v>
      </c>
      <c r="AY235" s="5">
        <f t="shared" si="15"/>
        <v>2.6940780539963072</v>
      </c>
      <c r="AZ235" s="5">
        <f t="shared" si="14"/>
        <v>0.16925517100369269</v>
      </c>
      <c r="BA235" s="5">
        <f>$C235-AY236</f>
        <v>-3.1497625867056822</v>
      </c>
      <c r="BB235">
        <v>1.5041389999999999</v>
      </c>
      <c r="BC235">
        <v>-3.5077663590843931E-4</v>
      </c>
      <c r="BD235">
        <v>5.9733333589999997</v>
      </c>
      <c r="BE235" s="5">
        <f>BD235-AY235</f>
        <v>3.2792553050036926</v>
      </c>
      <c r="BF235" s="5">
        <f>BD235-AY236</f>
        <v>-3.976245270568235E-2</v>
      </c>
    </row>
    <row r="236" spans="1:58" x14ac:dyDescent="0.25">
      <c r="A236" t="s">
        <v>246</v>
      </c>
      <c r="B236">
        <v>0</v>
      </c>
      <c r="C236">
        <v>3.3600001339999999</v>
      </c>
      <c r="D236">
        <v>0</v>
      </c>
      <c r="E236">
        <v>0.351000011</v>
      </c>
      <c r="F236">
        <v>4.6110528491462466</v>
      </c>
      <c r="G236">
        <v>4.60870393493623</v>
      </c>
      <c r="H236">
        <v>4.6051701859880918</v>
      </c>
      <c r="I236">
        <v>4.6148729614494766</v>
      </c>
      <c r="J236">
        <v>5.546270596770821</v>
      </c>
      <c r="K236">
        <v>0.27972003056900396</v>
      </c>
      <c r="L236">
        <v>235</v>
      </c>
      <c r="M236">
        <v>55225</v>
      </c>
      <c r="N236">
        <v>0</v>
      </c>
      <c r="O236" s="4">
        <v>4.6069086739418115</v>
      </c>
      <c r="P236" s="4">
        <v>4.6090028320082679</v>
      </c>
      <c r="Q236" s="4">
        <v>4.6241587565397761</v>
      </c>
      <c r="R236">
        <v>1.7154634291780633E-2</v>
      </c>
      <c r="S236" s="5">
        <v>2.2120000000000002</v>
      </c>
      <c r="T236" s="5">
        <v>1.0109999999999999</v>
      </c>
      <c r="U236">
        <f t="shared" si="16"/>
        <v>2.2120000000000001E-2</v>
      </c>
      <c r="V236">
        <f t="shared" si="17"/>
        <v>1.0109999999999999E-2</v>
      </c>
      <c r="W236" s="1">
        <v>922476552733657</v>
      </c>
      <c r="X236" s="2">
        <v>7.7622166589999999</v>
      </c>
      <c r="Y236" s="2">
        <v>7.7660774909999999</v>
      </c>
      <c r="Z236" s="2">
        <v>9.5675181889999994</v>
      </c>
      <c r="AA236" s="2">
        <v>-3.3139327000000003E-2</v>
      </c>
      <c r="AB236">
        <v>5.5770371922821364E-3</v>
      </c>
      <c r="AC236">
        <v>5.2696717471079164E-3</v>
      </c>
      <c r="AD236">
        <v>5.1514401902521779E-3</v>
      </c>
      <c r="AE236">
        <v>5.1013011857082942E-3</v>
      </c>
      <c r="AF236">
        <v>4.5235582983339864E-3</v>
      </c>
      <c r="AG236">
        <v>1.0846708939390052E-2</v>
      </c>
      <c r="AH236">
        <v>1.5998149129642231E-2</v>
      </c>
      <c r="AI236">
        <v>2.1099450315350526E-2</v>
      </c>
      <c r="AJ236">
        <v>2.5623008613684512E-2</v>
      </c>
      <c r="AK236">
        <v>1.0421111937360094E-2</v>
      </c>
      <c r="AL236">
        <v>1.5522413123068388E-2</v>
      </c>
      <c r="AM236">
        <v>2.0045971421402374E-2</v>
      </c>
      <c r="AN236">
        <v>1.0252741375960472E-2</v>
      </c>
      <c r="AO236">
        <v>1.4776299674294458E-2</v>
      </c>
      <c r="AP236">
        <v>9.6248594840422814E-3</v>
      </c>
      <c r="AQ236">
        <v>-1.4811550003063396E-4</v>
      </c>
      <c r="AR236">
        <v>-2.5514134154603491E-4</v>
      </c>
      <c r="AS236">
        <v>4.6288982796598849E-2</v>
      </c>
      <c r="AT236">
        <v>8.2798676113243624E-2</v>
      </c>
      <c r="AU236">
        <v>4.1733294966061001</v>
      </c>
      <c r="AV236" s="5">
        <v>126.9665385</v>
      </c>
      <c r="AW236" s="6">
        <v>196.6</v>
      </c>
      <c r="AX236" s="6">
        <f t="shared" si="13"/>
        <v>5.2811712077130659</v>
      </c>
      <c r="AY236" s="5">
        <f t="shared" si="15"/>
        <v>6.0130958117056821</v>
      </c>
      <c r="AZ236" s="5">
        <f t="shared" si="14"/>
        <v>-2.6530956777056822</v>
      </c>
      <c r="BA236" s="5">
        <f>$C236-AY237</f>
        <v>-0.35279337726752047</v>
      </c>
      <c r="BB236">
        <v>1.460863</v>
      </c>
      <c r="BC236">
        <v>3.704607313302086E-4</v>
      </c>
      <c r="BD236">
        <v>5.9800000190000002</v>
      </c>
      <c r="BE236" s="5">
        <f>BD236-AY236</f>
        <v>-3.3095792705681859E-2</v>
      </c>
      <c r="BF236" s="5">
        <f>BD236-AY237</f>
        <v>2.2672065077324799</v>
      </c>
    </row>
    <row r="237" spans="1:58" x14ac:dyDescent="0.25">
      <c r="A237" t="s">
        <v>247</v>
      </c>
      <c r="B237">
        <v>0</v>
      </c>
      <c r="C237">
        <v>3.8266668319999999</v>
      </c>
      <c r="D237">
        <v>0</v>
      </c>
      <c r="E237">
        <v>0.351000011</v>
      </c>
      <c r="F237">
        <v>4.6066391065957664</v>
      </c>
      <c r="G237">
        <v>4.6138622998755974</v>
      </c>
      <c r="H237">
        <v>4.61169269708902</v>
      </c>
      <c r="I237">
        <v>4.6185996062997523</v>
      </c>
      <c r="J237">
        <v>5.5488270266454345</v>
      </c>
      <c r="K237">
        <v>0.277985186588244</v>
      </c>
      <c r="L237">
        <v>236</v>
      </c>
      <c r="M237">
        <v>55696</v>
      </c>
      <c r="N237">
        <v>0</v>
      </c>
      <c r="O237" s="4">
        <v>4.6164265942437908</v>
      </c>
      <c r="P237" s="4">
        <v>4.6144965598443353</v>
      </c>
      <c r="Q237" s="4">
        <v>4.5987395537222842</v>
      </c>
      <c r="R237">
        <v>-2.2072119131124182E-2</v>
      </c>
      <c r="S237" s="5">
        <v>1.948</v>
      </c>
      <c r="T237" s="5">
        <v>-4.3490000000000002</v>
      </c>
      <c r="U237">
        <f t="shared" si="16"/>
        <v>1.9480000000000001E-2</v>
      </c>
      <c r="V237">
        <f t="shared" si="17"/>
        <v>-4.3490000000000001E-2</v>
      </c>
      <c r="W237" s="1">
        <v>9227730680204260</v>
      </c>
      <c r="X237" s="2">
        <v>7.7607331000000004</v>
      </c>
      <c r="Y237" s="2">
        <v>7.7963797259999996</v>
      </c>
      <c r="Z237" s="2">
        <v>9.5730371479999992</v>
      </c>
      <c r="AA237" s="2">
        <v>0.718883363</v>
      </c>
      <c r="AB237">
        <v>6.8466243009314091E-3</v>
      </c>
      <c r="AC237">
        <v>7.7098033557104467E-3</v>
      </c>
      <c r="AD237">
        <v>5.4316973651733387E-3</v>
      </c>
      <c r="AE237">
        <v>4.3980583095161539E-3</v>
      </c>
      <c r="AF237">
        <v>4.1950530411298181E-3</v>
      </c>
      <c r="AG237">
        <v>1.4556427656641856E-2</v>
      </c>
      <c r="AH237">
        <v>1.9988125021815194E-2</v>
      </c>
      <c r="AI237">
        <v>2.438618333133135E-2</v>
      </c>
      <c r="AJ237">
        <v>2.8581236372461169E-2</v>
      </c>
      <c r="AK237">
        <v>1.3141500720883785E-2</v>
      </c>
      <c r="AL237">
        <v>1.7539559030399939E-2</v>
      </c>
      <c r="AM237">
        <v>2.1734612071529758E-2</v>
      </c>
      <c r="AN237">
        <v>9.8297556746894926E-3</v>
      </c>
      <c r="AO237">
        <v>1.402480871581931E-2</v>
      </c>
      <c r="AP237">
        <v>8.5931113506459711E-3</v>
      </c>
      <c r="AQ237">
        <v>2.8887593449233133E-3</v>
      </c>
      <c r="AR237">
        <v>2.7632593561054807E-3</v>
      </c>
      <c r="AS237">
        <v>4.9177742141522165E-2</v>
      </c>
      <c r="AT237">
        <v>8.5561935469349107E-2</v>
      </c>
      <c r="AU237">
        <v>4.1895573544589597</v>
      </c>
      <c r="AV237" s="5">
        <v>128.03822629999999</v>
      </c>
      <c r="AW237" s="6">
        <v>198.43333333333334</v>
      </c>
      <c r="AX237" s="6">
        <f t="shared" si="13"/>
        <v>5.2904531914912347</v>
      </c>
      <c r="AY237" s="5">
        <f t="shared" si="15"/>
        <v>3.7127935112675203</v>
      </c>
      <c r="AZ237" s="5">
        <f t="shared" si="14"/>
        <v>0.11387332073247958</v>
      </c>
      <c r="BA237" s="5">
        <f>$C237-AY238</f>
        <v>1.7490882316307212</v>
      </c>
      <c r="BB237">
        <v>1.4932129999999999</v>
      </c>
      <c r="BC237">
        <v>7.8210448530508306E-6</v>
      </c>
      <c r="BD237">
        <v>6.3366665839999996</v>
      </c>
      <c r="BE237" s="5">
        <f>BD237-AY237</f>
        <v>2.6238730727324793</v>
      </c>
      <c r="BF237" s="5">
        <f>BD237-AY238</f>
        <v>4.2590879836307209</v>
      </c>
    </row>
    <row r="238" spans="1:58" x14ac:dyDescent="0.25">
      <c r="A238" t="s">
        <v>248</v>
      </c>
      <c r="B238">
        <v>0</v>
      </c>
      <c r="C238">
        <v>4.3933334349999997</v>
      </c>
      <c r="D238">
        <v>0</v>
      </c>
      <c r="E238">
        <v>0.35299998500000002</v>
      </c>
      <c r="F238">
        <v>4.6165749042515278</v>
      </c>
      <c r="G238">
        <v>4.6268925380604067</v>
      </c>
      <c r="H238">
        <v>4.6187679065259291</v>
      </c>
      <c r="I238">
        <v>4.6412127773350207</v>
      </c>
      <c r="J238">
        <v>5.5578391334058157</v>
      </c>
      <c r="K238">
        <v>0.28699740521089845</v>
      </c>
      <c r="L238">
        <v>237</v>
      </c>
      <c r="M238">
        <v>56169</v>
      </c>
      <c r="N238">
        <v>0</v>
      </c>
      <c r="O238" s="4">
        <v>4.6229413394732104</v>
      </c>
      <c r="P238" s="4">
        <v>4.6217322742870701</v>
      </c>
      <c r="Q238" s="4">
        <v>4.6378987166101728</v>
      </c>
      <c r="R238">
        <v>2.0395738369013865E-2</v>
      </c>
      <c r="S238" s="5">
        <v>2.4359999999999999</v>
      </c>
      <c r="T238" s="5">
        <v>1.5129999999999999</v>
      </c>
      <c r="U238">
        <f t="shared" si="16"/>
        <v>2.436E-2</v>
      </c>
      <c r="V238">
        <f t="shared" si="17"/>
        <v>1.5129999999999999E-2</v>
      </c>
      <c r="W238" s="1">
        <v>9238820145673810</v>
      </c>
      <c r="X238" s="2">
        <v>7.7739506059999997</v>
      </c>
      <c r="Y238" s="2">
        <v>7.8241206060000001</v>
      </c>
      <c r="Z238" s="2">
        <v>9.5850988190000006</v>
      </c>
      <c r="AA238" s="2">
        <v>0.20772917399999999</v>
      </c>
      <c r="AB238">
        <v>1.5748715589263617E-2</v>
      </c>
      <c r="AC238">
        <v>6.9663130774606143E-3</v>
      </c>
      <c r="AD238">
        <v>5.9784225120195619E-3</v>
      </c>
      <c r="AE238">
        <v>4.6609113279538388E-3</v>
      </c>
      <c r="AF238">
        <v>3.7660457714355955E-3</v>
      </c>
      <c r="AG238">
        <v>2.271502866672423E-2</v>
      </c>
      <c r="AH238">
        <v>2.8693451178743792E-2</v>
      </c>
      <c r="AI238">
        <v>3.3354362506697634E-2</v>
      </c>
      <c r="AJ238">
        <v>3.7120408278133232E-2</v>
      </c>
      <c r="AK238">
        <v>1.2944735589480175E-2</v>
      </c>
      <c r="AL238">
        <v>1.7605646917434013E-2</v>
      </c>
      <c r="AM238">
        <v>2.1371692688869608E-2</v>
      </c>
      <c r="AN238">
        <v>1.0639333839973401E-2</v>
      </c>
      <c r="AO238">
        <v>1.4405379611408996E-2</v>
      </c>
      <c r="AP238">
        <v>8.4269570993894347E-3</v>
      </c>
      <c r="AQ238">
        <v>3.1149799147906828E-3</v>
      </c>
      <c r="AR238">
        <v>3.5808382016147035E-3</v>
      </c>
      <c r="AS238">
        <v>5.229272205631285E-2</v>
      </c>
      <c r="AT238">
        <v>8.9142773670963807E-2</v>
      </c>
      <c r="AU238">
        <v>4.1897792920597903</v>
      </c>
      <c r="AV238" s="5">
        <v>129.0021136</v>
      </c>
      <c r="AW238" s="6">
        <v>199.46666666666667</v>
      </c>
      <c r="AX238" s="6">
        <f t="shared" si="13"/>
        <v>5.2956471379921579</v>
      </c>
      <c r="AY238" s="5">
        <f t="shared" si="15"/>
        <v>2.0775786003692787</v>
      </c>
      <c r="AZ238" s="5">
        <f t="shared" si="14"/>
        <v>2.3157548346307211</v>
      </c>
      <c r="BA238" s="5">
        <f>$C238-AY239</f>
        <v>0.79989719001173132</v>
      </c>
      <c r="BB238">
        <v>1.5392699999999999</v>
      </c>
      <c r="BC238">
        <v>-3.5328654422354076E-4</v>
      </c>
      <c r="BD238">
        <v>6.3066663739999997</v>
      </c>
      <c r="BE238" s="5">
        <f>BD238-AY238</f>
        <v>4.2290877736307211</v>
      </c>
      <c r="BF238" s="5">
        <f>BD238-AY239</f>
        <v>2.7132301290117313</v>
      </c>
    </row>
    <row r="239" spans="1:58" x14ac:dyDescent="0.25">
      <c r="A239" t="s">
        <v>249</v>
      </c>
      <c r="B239">
        <v>0</v>
      </c>
      <c r="C239">
        <v>4.703333378</v>
      </c>
      <c r="D239">
        <v>0</v>
      </c>
      <c r="E239">
        <v>0.35299998500000002</v>
      </c>
      <c r="F239">
        <v>4.6174149124045281</v>
      </c>
      <c r="G239">
        <v>4.6304869939718811</v>
      </c>
      <c r="H239">
        <v>4.6252500336786762</v>
      </c>
      <c r="I239">
        <v>4.6365331849302311</v>
      </c>
      <c r="J239">
        <v>5.5593615292953116</v>
      </c>
      <c r="K239">
        <v>0.28304570918315164</v>
      </c>
      <c r="L239">
        <v>238</v>
      </c>
      <c r="M239">
        <v>56644</v>
      </c>
      <c r="N239">
        <v>1.7271589486858571E-2</v>
      </c>
      <c r="O239" s="4">
        <v>4.6268436112695541</v>
      </c>
      <c r="P239" s="4">
        <v>4.6290917697047638</v>
      </c>
      <c r="Q239" s="4">
        <v>4.6353501544892239</v>
      </c>
      <c r="R239">
        <v>-1.5527300887053407E-2</v>
      </c>
      <c r="S239" s="5">
        <v>2.44</v>
      </c>
      <c r="T239" s="5">
        <v>-1.895</v>
      </c>
      <c r="U239">
        <f t="shared" si="16"/>
        <v>2.4399999999999998E-2</v>
      </c>
      <c r="V239">
        <f t="shared" si="17"/>
        <v>-1.8950000000000002E-2</v>
      </c>
      <c r="W239" s="1">
        <v>9243873402422920</v>
      </c>
      <c r="X239" s="2">
        <v>7.7798354390000002</v>
      </c>
      <c r="Y239" s="2">
        <v>7.8358686530000004</v>
      </c>
      <c r="Z239" s="2">
        <v>9.5882012999999997</v>
      </c>
      <c r="AA239" s="2">
        <v>-1.3649526240000001</v>
      </c>
      <c r="AB239">
        <v>1.8929715961113745E-3</v>
      </c>
      <c r="AC239">
        <v>6.0380599081218782E-3</v>
      </c>
      <c r="AD239">
        <v>4.6688368677464676E-3</v>
      </c>
      <c r="AE239">
        <v>4.7479981291026468E-3</v>
      </c>
      <c r="AF239">
        <v>4.1259331597367872E-3</v>
      </c>
      <c r="AG239">
        <v>7.9310315042332522E-3</v>
      </c>
      <c r="AH239">
        <v>1.259986837197972E-2</v>
      </c>
      <c r="AI239">
        <v>1.7347866501082367E-2</v>
      </c>
      <c r="AJ239">
        <v>2.1473799660819155E-2</v>
      </c>
      <c r="AK239">
        <v>1.0706896775868346E-2</v>
      </c>
      <c r="AL239">
        <v>1.5454894904970993E-2</v>
      </c>
      <c r="AM239">
        <v>1.9580828064707779E-2</v>
      </c>
      <c r="AN239">
        <v>9.4168349968491143E-3</v>
      </c>
      <c r="AO239">
        <v>1.3542768156585901E-2</v>
      </c>
      <c r="AP239">
        <v>8.8739312888394331E-3</v>
      </c>
      <c r="AQ239">
        <v>6.7562935894945053E-5</v>
      </c>
      <c r="AR239">
        <v>1.0495152935619968E-3</v>
      </c>
      <c r="AS239">
        <v>5.2360284992207795E-2</v>
      </c>
      <c r="AT239">
        <v>9.0192288964525802E-2</v>
      </c>
      <c r="AU239">
        <v>4.1788838830064901</v>
      </c>
      <c r="AV239" s="5">
        <v>130.14118010000001</v>
      </c>
      <c r="AW239" s="6">
        <v>201.26666666666668</v>
      </c>
      <c r="AX239" s="6">
        <f t="shared" si="13"/>
        <v>5.3046307286046286</v>
      </c>
      <c r="AY239" s="5">
        <f t="shared" si="15"/>
        <v>3.5934362449882684</v>
      </c>
      <c r="AZ239" s="5">
        <f t="shared" si="14"/>
        <v>1.1098971330117315</v>
      </c>
      <c r="BA239" s="5">
        <f>$C239-AY240</f>
        <v>0.94496071856476149</v>
      </c>
      <c r="BB239">
        <v>1.578802</v>
      </c>
      <c r="BC239">
        <v>-2.7932486089148737E-3</v>
      </c>
      <c r="BD239">
        <v>6.7366666789999998</v>
      </c>
      <c r="BE239" s="5">
        <f>BD239-AY239</f>
        <v>3.1432304340117314</v>
      </c>
      <c r="BF239" s="5">
        <f>BD239-AY240</f>
        <v>2.9782940195647614</v>
      </c>
    </row>
    <row r="240" spans="1:58" x14ac:dyDescent="0.25">
      <c r="A240" t="s">
        <v>250</v>
      </c>
      <c r="B240">
        <v>0</v>
      </c>
      <c r="C240">
        <v>4.9066667559999999</v>
      </c>
      <c r="D240">
        <v>0</v>
      </c>
      <c r="E240">
        <v>0.35299998500000002</v>
      </c>
      <c r="F240">
        <v>4.6189350145638048</v>
      </c>
      <c r="G240">
        <v>4.6307599569870881</v>
      </c>
      <c r="H240">
        <v>4.6307142545235322</v>
      </c>
      <c r="I240">
        <v>4.6237956501112558</v>
      </c>
      <c r="J240">
        <v>5.563719320254588</v>
      </c>
      <c r="K240">
        <v>0.27933753046836501</v>
      </c>
      <c r="L240">
        <v>239</v>
      </c>
      <c r="M240">
        <v>57121</v>
      </c>
      <c r="N240">
        <v>0</v>
      </c>
      <c r="O240" s="4">
        <v>4.6332813389491223</v>
      </c>
      <c r="P240" s="4">
        <v>4.6341948650287073</v>
      </c>
      <c r="Q240" s="4">
        <v>4.6464656683952628</v>
      </c>
      <c r="R240">
        <v>-6.9708616581598253E-3</v>
      </c>
      <c r="S240" s="5">
        <v>2.1640000000000001</v>
      </c>
      <c r="T240" s="5">
        <v>-0.221</v>
      </c>
      <c r="U240">
        <f t="shared" si="16"/>
        <v>2.1640000000000003E-2</v>
      </c>
      <c r="V240">
        <f t="shared" si="17"/>
        <v>-2.2100000000000002E-3</v>
      </c>
      <c r="W240" s="1">
        <v>9249926210770670</v>
      </c>
      <c r="X240" s="2">
        <v>7.7813079009999999</v>
      </c>
      <c r="Y240" s="2">
        <v>7.8380888280000001</v>
      </c>
      <c r="Z240" s="2">
        <v>9.5890781319999991</v>
      </c>
      <c r="AA240" s="2">
        <v>-2.2821423520000002</v>
      </c>
      <c r="AB240">
        <v>8.0236334179541666E-3</v>
      </c>
      <c r="AC240">
        <v>5.828806004251715E-3</v>
      </c>
      <c r="AD240">
        <v>4.6496294519607741E-3</v>
      </c>
      <c r="AE240">
        <v>3.3980977154750751E-3</v>
      </c>
      <c r="AF240">
        <v>5.1941793783755463E-3</v>
      </c>
      <c r="AG240">
        <v>1.3852439422205882E-2</v>
      </c>
      <c r="AH240">
        <v>1.8502068874166656E-2</v>
      </c>
      <c r="AI240">
        <v>2.190016658964173E-2</v>
      </c>
      <c r="AJ240">
        <v>2.7094345968017276E-2</v>
      </c>
      <c r="AK240">
        <v>1.0478435456212489E-2</v>
      </c>
      <c r="AL240">
        <v>1.3876533171687563E-2</v>
      </c>
      <c r="AM240">
        <v>1.907071255006311E-2</v>
      </c>
      <c r="AN240">
        <v>8.0477271674358492E-3</v>
      </c>
      <c r="AO240">
        <v>1.3241906545811396E-2</v>
      </c>
      <c r="AP240">
        <v>8.5922770938506206E-3</v>
      </c>
      <c r="AQ240">
        <v>1.0616004593633748E-3</v>
      </c>
      <c r="AR240">
        <v>3.3376501510166273E-4</v>
      </c>
      <c r="AS240">
        <v>5.3421885451571172E-2</v>
      </c>
      <c r="AT240">
        <v>9.0526053979627458E-2</v>
      </c>
      <c r="AU240">
        <v>4.1973679682072698</v>
      </c>
      <c r="AV240" s="5">
        <v>131.1301076</v>
      </c>
      <c r="AW240" s="6">
        <v>203.16666666666666</v>
      </c>
      <c r="AX240" s="6">
        <f t="shared" si="13"/>
        <v>5.3140266602532167</v>
      </c>
      <c r="AY240" s="5">
        <f t="shared" si="15"/>
        <v>3.7583726594352385</v>
      </c>
      <c r="AZ240" s="5">
        <f t="shared" si="14"/>
        <v>1.1482940965647614</v>
      </c>
      <c r="BA240" s="5">
        <f>$C240-AY241</f>
        <v>6.5507299007313335</v>
      </c>
      <c r="BB240">
        <v>1.608535</v>
      </c>
      <c r="BC240">
        <v>6.1721937273747675E-4</v>
      </c>
      <c r="BD240">
        <v>6.5933332440000001</v>
      </c>
      <c r="BE240" s="5">
        <f>BD240-AY240</f>
        <v>2.8349605845647616</v>
      </c>
      <c r="BF240" s="5">
        <f>BD240-AY241</f>
        <v>8.2373963887313337</v>
      </c>
    </row>
    <row r="241" spans="1:58" x14ac:dyDescent="0.25">
      <c r="A241" t="s">
        <v>251</v>
      </c>
      <c r="B241">
        <v>0</v>
      </c>
      <c r="C241">
        <v>4.9033331870000003</v>
      </c>
      <c r="D241">
        <v>0</v>
      </c>
      <c r="E241">
        <v>0.35299998500000002</v>
      </c>
      <c r="F241">
        <v>4.6217322742870701</v>
      </c>
      <c r="G241">
        <v>4.6380341996072643</v>
      </c>
      <c r="H241">
        <v>4.6401477462255381</v>
      </c>
      <c r="I241">
        <v>4.6101477772008703</v>
      </c>
      <c r="J241">
        <v>5.5694850744370434</v>
      </c>
      <c r="K241">
        <v>0.297126772885693</v>
      </c>
      <c r="L241">
        <v>240</v>
      </c>
      <c r="M241">
        <v>57600</v>
      </c>
      <c r="N241">
        <v>0</v>
      </c>
      <c r="O241" s="4">
        <v>4.648066826940398</v>
      </c>
      <c r="P241" s="4">
        <v>4.6418010098098774</v>
      </c>
      <c r="Q241" s="4">
        <v>4.6601033480129006</v>
      </c>
      <c r="R241">
        <v>-3.1405518032194529E-3</v>
      </c>
      <c r="S241" s="5">
        <v>2.3050000000000002</v>
      </c>
      <c r="T241" s="5">
        <v>1.4279999999999999</v>
      </c>
      <c r="U241">
        <f t="shared" si="16"/>
        <v>2.3050000000000001E-2</v>
      </c>
      <c r="V241">
        <f t="shared" si="17"/>
        <v>1.4279999999999999E-2</v>
      </c>
      <c r="W241" s="1">
        <v>9259557207013410</v>
      </c>
      <c r="X241" s="2">
        <v>7.789831629</v>
      </c>
      <c r="Y241" s="2">
        <v>7.8494265900000002</v>
      </c>
      <c r="Z241" s="2">
        <v>9.5968536909999997</v>
      </c>
      <c r="AA241" s="2">
        <v>-2.6675001749999998</v>
      </c>
      <c r="AB241">
        <v>5.6209664551290194E-3</v>
      </c>
      <c r="AC241">
        <v>5.9122960828751348E-3</v>
      </c>
      <c r="AD241">
        <v>3.317128270902137E-3</v>
      </c>
      <c r="AE241">
        <v>4.3254796786145727E-3</v>
      </c>
      <c r="AF241">
        <v>4.897398172064471E-3</v>
      </c>
      <c r="AG241">
        <v>1.1533262538004154E-2</v>
      </c>
      <c r="AH241">
        <v>1.4850390808906291E-2</v>
      </c>
      <c r="AI241">
        <v>1.9175870487520862E-2</v>
      </c>
      <c r="AJ241">
        <v>2.4073268659585333E-2</v>
      </c>
      <c r="AK241">
        <v>9.2294243537772713E-3</v>
      </c>
      <c r="AL241">
        <v>1.3554904032391844E-2</v>
      </c>
      <c r="AM241">
        <v>1.8452302204456317E-2</v>
      </c>
      <c r="AN241">
        <v>7.6426079495167092E-3</v>
      </c>
      <c r="AO241">
        <v>1.254000612158118E-2</v>
      </c>
      <c r="AP241">
        <v>9.2228778506790437E-3</v>
      </c>
      <c r="AQ241">
        <v>1.1816971863414221E-3</v>
      </c>
      <c r="AR241">
        <v>3.1299748658044843E-4</v>
      </c>
      <c r="AS241">
        <v>5.4603582637912595E-2</v>
      </c>
      <c r="AT241">
        <v>9.083905146620791E-2</v>
      </c>
      <c r="AU241">
        <v>4.2095910203472702</v>
      </c>
      <c r="AV241" s="5">
        <v>131.7144212</v>
      </c>
      <c r="AW241" s="6">
        <v>202.33333333333334</v>
      </c>
      <c r="AX241" s="6">
        <f t="shared" si="13"/>
        <v>5.3099165023913883</v>
      </c>
      <c r="AY241" s="5">
        <f t="shared" si="15"/>
        <v>-1.6440631447313336</v>
      </c>
      <c r="AZ241" s="5">
        <f t="shared" si="14"/>
        <v>6.547396331731334</v>
      </c>
      <c r="BA241" s="5">
        <f>$C241-AY242</f>
        <v>1.0008504131534286</v>
      </c>
      <c r="BB241">
        <v>1.569736</v>
      </c>
      <c r="BC241">
        <v>9.1160291436644288E-4</v>
      </c>
      <c r="BD241">
        <v>6.2799997330000004</v>
      </c>
      <c r="BE241" s="5">
        <f>BD241-AY241</f>
        <v>7.924062877731334</v>
      </c>
      <c r="BF241" s="5">
        <f>BD241-AY242</f>
        <v>2.3775169591534286</v>
      </c>
    </row>
    <row r="242" spans="1:58" x14ac:dyDescent="0.25">
      <c r="A242" t="s">
        <v>252</v>
      </c>
      <c r="B242">
        <v>0</v>
      </c>
      <c r="C242">
        <v>4.9833335879999998</v>
      </c>
      <c r="D242">
        <v>0</v>
      </c>
      <c r="E242">
        <v>0.35299998500000002</v>
      </c>
      <c r="F242">
        <v>4.6217421099817892</v>
      </c>
      <c r="G242">
        <v>4.6410391344023338</v>
      </c>
      <c r="H242">
        <v>4.6485924180785938</v>
      </c>
      <c r="I242">
        <v>4.6035488723691911</v>
      </c>
      <c r="J242">
        <v>5.5681231052084446</v>
      </c>
      <c r="K242">
        <v>0.29817158212835243</v>
      </c>
      <c r="L242">
        <v>241</v>
      </c>
      <c r="M242">
        <v>58081</v>
      </c>
      <c r="N242">
        <v>0</v>
      </c>
      <c r="O242" s="4">
        <v>4.6556446452216225</v>
      </c>
      <c r="P242" s="4">
        <v>4.6505354442381481</v>
      </c>
      <c r="Q242" s="4">
        <v>4.6735201842096332</v>
      </c>
      <c r="R242">
        <v>-1.9535212274762091E-2</v>
      </c>
      <c r="S242" s="5">
        <v>2.3759999999999999</v>
      </c>
      <c r="T242" s="5">
        <v>-1.48</v>
      </c>
      <c r="U242">
        <f t="shared" si="16"/>
        <v>2.376E-2</v>
      </c>
      <c r="V242">
        <f t="shared" si="17"/>
        <v>-1.4800000000000001E-2</v>
      </c>
      <c r="W242" s="1">
        <v>9265137316407420</v>
      </c>
      <c r="X242" s="2">
        <v>7.7944350609999997</v>
      </c>
      <c r="Y242" s="2">
        <v>7.8554157010000001</v>
      </c>
      <c r="Z242" s="2">
        <v>9.5975125129999999</v>
      </c>
      <c r="AA242" s="2">
        <v>-3.3056464339999998</v>
      </c>
      <c r="AB242">
        <v>5.4785404995068062E-3</v>
      </c>
      <c r="AC242">
        <v>3.0608260925581994E-3</v>
      </c>
      <c r="AD242">
        <v>4.1382189910499122E-3</v>
      </c>
      <c r="AE242">
        <v>3.7601899702218891E-3</v>
      </c>
      <c r="AF242">
        <v>3.3523613874855808E-3</v>
      </c>
      <c r="AG242">
        <v>8.539366592065006E-3</v>
      </c>
      <c r="AH242">
        <v>1.2677585583114919E-2</v>
      </c>
      <c r="AI242">
        <v>1.6437775553336809E-2</v>
      </c>
      <c r="AJ242">
        <v>1.9790136940822389E-2</v>
      </c>
      <c r="AK242">
        <v>7.1990450836081112E-3</v>
      </c>
      <c r="AL242">
        <v>1.0959235053830001E-2</v>
      </c>
      <c r="AM242">
        <v>1.4311596441315581E-2</v>
      </c>
      <c r="AN242">
        <v>7.8984089612718009E-3</v>
      </c>
      <c r="AO242">
        <v>1.1250770348757381E-2</v>
      </c>
      <c r="AP242">
        <v>7.1125513577074695E-3</v>
      </c>
      <c r="AQ242">
        <v>-4.4356286590859807E-4</v>
      </c>
      <c r="AR242">
        <v>-1.5807710677511796E-3</v>
      </c>
      <c r="AS242">
        <v>5.4160019772003999E-2</v>
      </c>
      <c r="AT242">
        <v>8.9258280398456735E-2</v>
      </c>
      <c r="AU242">
        <v>4.2209999577047199</v>
      </c>
      <c r="AV242" s="5">
        <v>133.09535750000001</v>
      </c>
      <c r="AW242" s="6">
        <v>204.31700000000001</v>
      </c>
      <c r="AX242" s="6">
        <f t="shared" si="13"/>
        <v>5.3196727093260048</v>
      </c>
      <c r="AY242" s="5">
        <f t="shared" si="15"/>
        <v>3.9024827738465717</v>
      </c>
      <c r="AZ242" s="5">
        <f t="shared" si="14"/>
        <v>1.0808508141534281</v>
      </c>
      <c r="BA242" s="5">
        <f>$C242-AY243</f>
        <v>0.47857978555658232</v>
      </c>
      <c r="BB242">
        <v>1.596913</v>
      </c>
      <c r="BC242">
        <v>1.2285917690394413E-3</v>
      </c>
      <c r="BD242">
        <v>6.296666622</v>
      </c>
      <c r="BE242" s="5">
        <f>BD242-AY242</f>
        <v>2.3941838481534283</v>
      </c>
      <c r="BF242" s="5">
        <f>BD242-AY243</f>
        <v>1.7919128195565825</v>
      </c>
    </row>
    <row r="243" spans="1:58" x14ac:dyDescent="0.25">
      <c r="A243" t="s">
        <v>253</v>
      </c>
      <c r="B243">
        <v>0</v>
      </c>
      <c r="C243">
        <v>4.7366666789999998</v>
      </c>
      <c r="D243">
        <v>0</v>
      </c>
      <c r="E243">
        <v>0.35299998500000002</v>
      </c>
      <c r="F243">
        <v>4.6324350971361037</v>
      </c>
      <c r="G243">
        <v>4.648947808333979</v>
      </c>
      <c r="H243">
        <v>4.6511077042770683</v>
      </c>
      <c r="I243">
        <v>4.6124039590499697</v>
      </c>
      <c r="J243">
        <v>5.5705862639471819</v>
      </c>
      <c r="K243">
        <v>0.29875243286617875</v>
      </c>
      <c r="L243">
        <v>242</v>
      </c>
      <c r="M243">
        <v>58564</v>
      </c>
      <c r="N243">
        <v>0</v>
      </c>
      <c r="O243" s="4">
        <v>4.6535888525894178</v>
      </c>
      <c r="P243" s="4">
        <v>4.6546077595904221</v>
      </c>
      <c r="Q243" s="4">
        <v>4.6787365829450085</v>
      </c>
      <c r="R243">
        <v>1.4844542552236707E-2</v>
      </c>
      <c r="S243" s="5">
        <v>2.3090000000000002</v>
      </c>
      <c r="T243" s="5">
        <v>1.9690000000000001</v>
      </c>
      <c r="U243">
        <f t="shared" si="16"/>
        <v>2.3090000000000003E-2</v>
      </c>
      <c r="V243">
        <f t="shared" si="17"/>
        <v>1.9689999999999999E-2</v>
      </c>
      <c r="W243" s="1">
        <v>9266989005900420</v>
      </c>
      <c r="X243" s="2">
        <v>7.8060016890000004</v>
      </c>
      <c r="Y243" s="2">
        <v>7.8629342510000004</v>
      </c>
      <c r="Z243" s="2">
        <v>9.6051825900000001</v>
      </c>
      <c r="AA243" s="2">
        <v>-5.9401242060000001</v>
      </c>
      <c r="AB243">
        <v>8.0601028765127612E-3</v>
      </c>
      <c r="AC243">
        <v>5.3120299749604329E-3</v>
      </c>
      <c r="AD243">
        <v>4.3907304490638918E-3</v>
      </c>
      <c r="AE243">
        <v>3.6270237260513146E-3</v>
      </c>
      <c r="AF243">
        <v>3.4097576204929572E-3</v>
      </c>
      <c r="AG243">
        <v>1.3372132851473194E-2</v>
      </c>
      <c r="AH243">
        <v>1.7762863300537085E-2</v>
      </c>
      <c r="AI243">
        <v>2.1389887026588401E-2</v>
      </c>
      <c r="AJ243">
        <v>2.479964464708136E-2</v>
      </c>
      <c r="AK243">
        <v>9.7027604240243238E-3</v>
      </c>
      <c r="AL243">
        <v>1.3329784150075638E-2</v>
      </c>
      <c r="AM243">
        <v>1.6739541770568595E-2</v>
      </c>
      <c r="AN243">
        <v>8.0177541751152055E-3</v>
      </c>
      <c r="AO243">
        <v>1.1427511795608162E-2</v>
      </c>
      <c r="AP243">
        <v>7.0367813465442713E-3</v>
      </c>
      <c r="AQ243">
        <v>1.804351462752523E-3</v>
      </c>
      <c r="AR243">
        <v>2.0790138013182576E-3</v>
      </c>
      <c r="AS243">
        <v>5.5964371234756519E-2</v>
      </c>
      <c r="AT243">
        <v>9.1337294199774988E-2</v>
      </c>
      <c r="AU243">
        <v>4.2047562495984501</v>
      </c>
      <c r="AV243" s="5">
        <v>133.97654940000001</v>
      </c>
      <c r="AW243" s="6">
        <v>206.631</v>
      </c>
      <c r="AX243" s="6">
        <f t="shared" si="13"/>
        <v>5.3309345938321133</v>
      </c>
      <c r="AY243" s="5">
        <f t="shared" si="15"/>
        <v>4.5047538024434175</v>
      </c>
      <c r="AZ243" s="5">
        <f t="shared" si="14"/>
        <v>0.23191287655658233</v>
      </c>
      <c r="BA243" s="5">
        <f>$C243-AY244</f>
        <v>2.212597228358125</v>
      </c>
      <c r="BB243">
        <v>1.577242</v>
      </c>
      <c r="BC243">
        <v>-4.8199251806300232E-4</v>
      </c>
      <c r="BD243">
        <v>6.4933333400000004</v>
      </c>
      <c r="BE243" s="5">
        <f>BD243-AY243</f>
        <v>1.9885795375565829</v>
      </c>
      <c r="BF243" s="5">
        <f>BD243-AY244</f>
        <v>3.9692638893581256</v>
      </c>
    </row>
    <row r="244" spans="1:58" x14ac:dyDescent="0.25">
      <c r="A244" t="s">
        <v>254</v>
      </c>
      <c r="B244">
        <v>0</v>
      </c>
      <c r="C244">
        <v>4.3033332819999996</v>
      </c>
      <c r="D244">
        <v>0</v>
      </c>
      <c r="E244">
        <v>0.35299998500000002</v>
      </c>
      <c r="F244">
        <v>4.6420516267143359</v>
      </c>
      <c r="G244">
        <v>4.6577816112593009</v>
      </c>
      <c r="H244">
        <v>4.6548056251928553</v>
      </c>
      <c r="I244">
        <v>4.611410673577546</v>
      </c>
      <c r="J244">
        <v>5.5677489065809764</v>
      </c>
      <c r="K244">
        <v>0.30263199924857448</v>
      </c>
      <c r="L244">
        <v>243</v>
      </c>
      <c r="M244">
        <v>59049</v>
      </c>
      <c r="N244">
        <v>0</v>
      </c>
      <c r="O244" s="4">
        <v>4.6587773014259106</v>
      </c>
      <c r="P244" s="4">
        <v>4.6577910987003008</v>
      </c>
      <c r="Q244" s="4">
        <v>4.6913570564989868</v>
      </c>
      <c r="R244">
        <v>1.6990498242037067E-2</v>
      </c>
      <c r="S244" s="5">
        <v>2.19</v>
      </c>
      <c r="T244" s="5">
        <v>1.595</v>
      </c>
      <c r="U244">
        <f t="shared" si="16"/>
        <v>2.1899999999999999E-2</v>
      </c>
      <c r="V244">
        <f t="shared" si="17"/>
        <v>1.5949999999999999E-2</v>
      </c>
      <c r="W244" s="1">
        <v>9272609100331990</v>
      </c>
      <c r="X244" s="2">
        <v>7.8173175209999997</v>
      </c>
      <c r="Y244" s="2">
        <v>7.8450490049999999</v>
      </c>
      <c r="Z244" s="2">
        <v>9.6118978550000005</v>
      </c>
      <c r="AA244" s="2">
        <v>-7.0375909080000003</v>
      </c>
      <c r="AB244">
        <v>4.1576229553743531E-3</v>
      </c>
      <c r="AC244">
        <v>4.5680953338040377E-3</v>
      </c>
      <c r="AD244">
        <v>2.8592809465231416E-3</v>
      </c>
      <c r="AE244">
        <v>3.7800232272478169E-3</v>
      </c>
      <c r="AF244">
        <v>3.2746873730469818E-3</v>
      </c>
      <c r="AG244">
        <v>8.7257182891783899E-3</v>
      </c>
      <c r="AH244">
        <v>1.1584999235701532E-2</v>
      </c>
      <c r="AI244">
        <v>1.5365022462949348E-2</v>
      </c>
      <c r="AJ244">
        <v>1.8639709835996329E-2</v>
      </c>
      <c r="AK244">
        <v>7.4273762803271793E-3</v>
      </c>
      <c r="AL244">
        <v>1.1207399507574996E-2</v>
      </c>
      <c r="AM244">
        <v>1.4482086880621978E-2</v>
      </c>
      <c r="AN244">
        <v>6.6393041737709581E-3</v>
      </c>
      <c r="AO244">
        <v>9.9139915468179404E-3</v>
      </c>
      <c r="AP244">
        <v>7.0547106002947987E-3</v>
      </c>
      <c r="AQ244">
        <v>-5.9037789478802623E-4</v>
      </c>
      <c r="AR244">
        <v>-2.201122880331665E-4</v>
      </c>
      <c r="AS244">
        <v>5.5373993339968494E-2</v>
      </c>
      <c r="AT244">
        <v>9.1117181911741826E-2</v>
      </c>
      <c r="AU244">
        <v>4.2338069133624199</v>
      </c>
      <c r="AV244" s="5">
        <v>134.5316028</v>
      </c>
      <c r="AW244" s="6">
        <v>207.93899999999999</v>
      </c>
      <c r="AX244" s="6">
        <f t="shared" si="13"/>
        <v>5.337244767458718</v>
      </c>
      <c r="AY244" s="5">
        <f t="shared" si="15"/>
        <v>2.5240694506418748</v>
      </c>
      <c r="AZ244" s="5">
        <f t="shared" si="14"/>
        <v>1.7792638313581248</v>
      </c>
      <c r="BA244" s="5">
        <f>$C244-AY245</f>
        <v>-0.57338471370961219</v>
      </c>
      <c r="BB244">
        <v>1.6722239999999999</v>
      </c>
      <c r="BC244">
        <v>-8.8528351558704111E-4</v>
      </c>
      <c r="BD244">
        <v>6.6300001139999996</v>
      </c>
      <c r="BE244" s="5">
        <f>BD244-AY244</f>
        <v>4.1059306633581247</v>
      </c>
      <c r="BF244" s="5">
        <f>BD244-AY245</f>
        <v>1.7532821182903877</v>
      </c>
    </row>
    <row r="245" spans="1:58" x14ac:dyDescent="0.25">
      <c r="A245" t="s">
        <v>255</v>
      </c>
      <c r="B245">
        <v>0</v>
      </c>
      <c r="C245">
        <v>3.3900001049999999</v>
      </c>
      <c r="D245">
        <v>0</v>
      </c>
      <c r="E245">
        <v>0.35299998500000002</v>
      </c>
      <c r="F245">
        <v>4.6460145802574706</v>
      </c>
      <c r="G245">
        <v>4.6630333514322793</v>
      </c>
      <c r="H245">
        <v>4.6564578165096027</v>
      </c>
      <c r="I245">
        <v>4.6008006534701487</v>
      </c>
      <c r="J245">
        <v>5.5710545686736248</v>
      </c>
      <c r="K245">
        <v>0.3090320998723915</v>
      </c>
      <c r="L245">
        <v>244</v>
      </c>
      <c r="M245">
        <v>59536</v>
      </c>
      <c r="N245">
        <v>5.2137180092948467E-2</v>
      </c>
      <c r="O245" s="4">
        <v>4.6631843446850549</v>
      </c>
      <c r="P245" s="4">
        <v>4.6584929196699276</v>
      </c>
      <c r="Q245" s="4">
        <v>4.7046896760209078</v>
      </c>
      <c r="R245">
        <v>2.0751653460243397E-3</v>
      </c>
      <c r="S245" s="5">
        <v>1.895</v>
      </c>
      <c r="T245" s="5">
        <v>0.66700000000000004</v>
      </c>
      <c r="U245">
        <f t="shared" si="16"/>
        <v>1.8950000000000002E-2</v>
      </c>
      <c r="V245">
        <f t="shared" si="17"/>
        <v>6.6700000000000006E-3</v>
      </c>
      <c r="W245" s="1">
        <v>927545316568769</v>
      </c>
      <c r="X245" s="2">
        <v>7.8270733049999999</v>
      </c>
      <c r="Y245" s="2">
        <v>7.8359896320000004</v>
      </c>
      <c r="Z245" s="2">
        <v>9.6155454460000005</v>
      </c>
      <c r="AA245" s="2">
        <v>-7.1737117469999996</v>
      </c>
      <c r="AB245">
        <v>4.0623334786031575E-3</v>
      </c>
      <c r="AC245">
        <v>3.3063904189693052E-3</v>
      </c>
      <c r="AD245">
        <v>4.7687133867394546E-3</v>
      </c>
      <c r="AE245">
        <v>4.4225254097748348E-3</v>
      </c>
      <c r="AF245">
        <v>4.4198545141056053E-3</v>
      </c>
      <c r="AG245">
        <v>7.3687238975724632E-3</v>
      </c>
      <c r="AH245">
        <v>1.2137437284311919E-2</v>
      </c>
      <c r="AI245">
        <v>1.6559962694086754E-2</v>
      </c>
      <c r="AJ245">
        <v>2.097981720819236E-2</v>
      </c>
      <c r="AK245">
        <v>8.0751038057087603E-3</v>
      </c>
      <c r="AL245">
        <v>1.2497629215483596E-2</v>
      </c>
      <c r="AM245">
        <v>1.6917483729589202E-2</v>
      </c>
      <c r="AN245">
        <v>9.1912387965142894E-3</v>
      </c>
      <c r="AO245">
        <v>1.3611093310619896E-2</v>
      </c>
      <c r="AP245">
        <v>8.8423799238804401E-3</v>
      </c>
      <c r="AQ245">
        <v>1.4357996319378022E-3</v>
      </c>
      <c r="AR245">
        <v>2.5836376686656556E-3</v>
      </c>
      <c r="AS245">
        <v>5.6809792971906296E-2</v>
      </c>
      <c r="AT245">
        <v>9.3700819580407477E-2</v>
      </c>
      <c r="AU245">
        <v>4.2724693277104704</v>
      </c>
      <c r="AV245" s="5">
        <v>135.3181007</v>
      </c>
      <c r="AW245" s="6">
        <v>210.48966666666666</v>
      </c>
      <c r="AX245" s="6">
        <f t="shared" si="13"/>
        <v>5.349436562447992</v>
      </c>
      <c r="AY245" s="5">
        <f t="shared" si="15"/>
        <v>4.8767179957096118</v>
      </c>
      <c r="AZ245" s="5">
        <f t="shared" si="14"/>
        <v>-1.4867178907096119</v>
      </c>
      <c r="BA245" s="5">
        <f>$C245-AY246</f>
        <v>-0.91945629480251378</v>
      </c>
      <c r="BB245">
        <v>1.6839834478639999</v>
      </c>
      <c r="BC245">
        <v>1.5788631946787521E-4</v>
      </c>
      <c r="BD245">
        <v>6.5100002290000001</v>
      </c>
      <c r="BE245" s="5">
        <f>BD245-AY245</f>
        <v>1.6332822332903882</v>
      </c>
      <c r="BF245" s="5">
        <f>BD245-AY246</f>
        <v>2.2005438291974864</v>
      </c>
    </row>
    <row r="246" spans="1:58" x14ac:dyDescent="0.25">
      <c r="A246" t="s">
        <v>256</v>
      </c>
      <c r="B246">
        <v>0</v>
      </c>
      <c r="C246">
        <v>2.0433332919999998</v>
      </c>
      <c r="D246">
        <v>0</v>
      </c>
      <c r="E246">
        <v>0.35299998500000002</v>
      </c>
      <c r="F246">
        <v>4.6524830690387091</v>
      </c>
      <c r="G246">
        <v>4.6612101968707638</v>
      </c>
      <c r="H246">
        <v>4.6578379862095485</v>
      </c>
      <c r="I246">
        <v>4.5846511020981691</v>
      </c>
      <c r="J246">
        <v>5.569168591588344</v>
      </c>
      <c r="K246">
        <v>0.3112593212913688</v>
      </c>
      <c r="L246">
        <v>245</v>
      </c>
      <c r="M246">
        <v>60025</v>
      </c>
      <c r="N246">
        <v>0</v>
      </c>
      <c r="O246" s="4">
        <v>4.655530545327041</v>
      </c>
      <c r="P246" s="4">
        <v>4.6629955995564787</v>
      </c>
      <c r="Q246" s="4">
        <v>4.681492134058856</v>
      </c>
      <c r="R246">
        <v>1.6241756985523697E-2</v>
      </c>
      <c r="S246" s="5">
        <v>1.78</v>
      </c>
      <c r="T246" s="5">
        <v>0.29099999999999998</v>
      </c>
      <c r="U246">
        <f t="shared" si="16"/>
        <v>1.78E-2</v>
      </c>
      <c r="V246">
        <f t="shared" si="17"/>
        <v>2.9099999999999998E-3</v>
      </c>
      <c r="W246" s="1">
        <v>9272791935682220</v>
      </c>
      <c r="X246" s="2">
        <v>7.842243603</v>
      </c>
      <c r="Y246" s="2">
        <v>7.79980707</v>
      </c>
      <c r="Z246" s="2">
        <v>9.6088077189999996</v>
      </c>
      <c r="AA246" s="2">
        <v>-6.7244864059999996</v>
      </c>
      <c r="AB246">
        <v>4.9068429740467588E-3</v>
      </c>
      <c r="AC246">
        <v>5.2356612936863764E-3</v>
      </c>
      <c r="AD246">
        <v>5.2869639765629733E-3</v>
      </c>
      <c r="AE246">
        <v>4.0823974886161716E-3</v>
      </c>
      <c r="AF246">
        <v>5.2538670605337973E-3</v>
      </c>
      <c r="AG246">
        <v>1.0142504267733134E-2</v>
      </c>
      <c r="AH246">
        <v>1.5429468244296108E-2</v>
      </c>
      <c r="AI246">
        <v>1.9511865732912279E-2</v>
      </c>
      <c r="AJ246">
        <v>2.4765732793446078E-2</v>
      </c>
      <c r="AK246">
        <v>1.052262527024935E-2</v>
      </c>
      <c r="AL246">
        <v>1.4605022758865521E-2</v>
      </c>
      <c r="AM246">
        <v>1.9858889819399317E-2</v>
      </c>
      <c r="AN246">
        <v>9.3693614651791449E-3</v>
      </c>
      <c r="AO246">
        <v>1.4623228525712942E-2</v>
      </c>
      <c r="AP246">
        <v>9.3362645491499689E-3</v>
      </c>
      <c r="AQ246">
        <v>1.3313864737350602E-3</v>
      </c>
      <c r="AR246">
        <v>9.9392944824562568E-4</v>
      </c>
      <c r="AS246">
        <v>5.8141179445641358E-2</v>
      </c>
      <c r="AT246">
        <v>9.4694749028653102E-2</v>
      </c>
      <c r="AU246">
        <v>4.3111000006202298</v>
      </c>
      <c r="AV246" s="5">
        <v>135.90541200000001</v>
      </c>
      <c r="AW246" s="6">
        <v>212.76966666666667</v>
      </c>
      <c r="AX246" s="6">
        <f t="shared" si="13"/>
        <v>5.3602102034474983</v>
      </c>
      <c r="AY246" s="5">
        <f t="shared" si="15"/>
        <v>4.3094563998025137</v>
      </c>
      <c r="AZ246" s="5">
        <f t="shared" si="14"/>
        <v>-2.2661231078025139</v>
      </c>
      <c r="BA246" s="5">
        <f>$C246-AY247</f>
        <v>-3.1268579636399778</v>
      </c>
      <c r="BB246">
        <v>1.731134080643</v>
      </c>
      <c r="BC246">
        <v>4.6076410789130853E-4</v>
      </c>
      <c r="BD246">
        <v>6.75</v>
      </c>
      <c r="BE246" s="5">
        <f>BD246-AY246</f>
        <v>2.4405436001974863</v>
      </c>
      <c r="BF246" s="5">
        <f>BD246-AY247</f>
        <v>1.5798087443600224</v>
      </c>
    </row>
    <row r="247" spans="1:58" x14ac:dyDescent="0.25">
      <c r="A247" t="s">
        <v>257</v>
      </c>
      <c r="B247">
        <v>0</v>
      </c>
      <c r="C247">
        <v>1.6266666649999999</v>
      </c>
      <c r="D247">
        <v>0</v>
      </c>
      <c r="E247">
        <v>0.35299998500000002</v>
      </c>
      <c r="F247">
        <v>4.6613803726249117</v>
      </c>
      <c r="G247">
        <v>4.664824925856343</v>
      </c>
      <c r="H247">
        <v>4.659906932234386</v>
      </c>
      <c r="I247">
        <v>4.577706487483181</v>
      </c>
      <c r="J247">
        <v>5.5670497728288479</v>
      </c>
      <c r="K247">
        <v>0.31157939488502828</v>
      </c>
      <c r="L247">
        <v>246</v>
      </c>
      <c r="M247">
        <v>60516</v>
      </c>
      <c r="N247">
        <v>0</v>
      </c>
      <c r="O247" s="4">
        <v>4.6609643363102871</v>
      </c>
      <c r="P247" s="4">
        <v>4.6638823920674231</v>
      </c>
      <c r="Q247" s="4">
        <v>4.6667731525985596</v>
      </c>
      <c r="R247">
        <v>1.357315739363895E-2</v>
      </c>
      <c r="S247" s="5">
        <v>1.8029999999999999</v>
      </c>
      <c r="T247" s="5">
        <v>1.694</v>
      </c>
      <c r="U247">
        <f t="shared" si="16"/>
        <v>1.8030000000000001E-2</v>
      </c>
      <c r="V247">
        <f t="shared" si="17"/>
        <v>1.694E-2</v>
      </c>
      <c r="W247" s="1">
        <v>927441212794584</v>
      </c>
      <c r="X247" s="2">
        <v>7.8582479029999996</v>
      </c>
      <c r="Y247" s="2">
        <v>7.640236238</v>
      </c>
      <c r="Z247" s="2">
        <v>9.6137500360000008</v>
      </c>
      <c r="AA247" s="2">
        <v>-9.1442565600000005</v>
      </c>
      <c r="AB247">
        <v>4.2376158219710079E-3</v>
      </c>
      <c r="AC247">
        <v>5.6877606928361782E-3</v>
      </c>
      <c r="AD247">
        <v>4.5836938066795112E-3</v>
      </c>
      <c r="AE247">
        <v>5.196615478809897E-3</v>
      </c>
      <c r="AF247">
        <v>3.9417962094422136E-3</v>
      </c>
      <c r="AG247">
        <v>9.9253765148071861E-3</v>
      </c>
      <c r="AH247">
        <v>1.4509070321486697E-2</v>
      </c>
      <c r="AI247">
        <v>1.9705685800296593E-2</v>
      </c>
      <c r="AJ247">
        <v>2.3647482009738808E-2</v>
      </c>
      <c r="AK247">
        <v>1.0271454499515689E-2</v>
      </c>
      <c r="AL247">
        <v>1.5468069978325585E-2</v>
      </c>
      <c r="AM247">
        <v>1.9409866187767799E-2</v>
      </c>
      <c r="AN247">
        <v>9.7803092854894073E-3</v>
      </c>
      <c r="AO247">
        <v>1.3722105494931622E-2</v>
      </c>
      <c r="AP247">
        <v>9.1384116882521106E-3</v>
      </c>
      <c r="AQ247">
        <v>9.0209303433654367E-4</v>
      </c>
      <c r="AR247">
        <v>8.448414526126425E-4</v>
      </c>
      <c r="AS247">
        <v>5.9043272479977899E-2</v>
      </c>
      <c r="AT247">
        <v>9.5539590481265743E-2</v>
      </c>
      <c r="AU247">
        <v>4.29030829032929</v>
      </c>
      <c r="AV247" s="5">
        <v>136.58228679999999</v>
      </c>
      <c r="AW247" s="6">
        <v>215.53766666666667</v>
      </c>
      <c r="AX247" s="6">
        <f t="shared" si="13"/>
        <v>5.3731356815865983</v>
      </c>
      <c r="AY247" s="5">
        <f t="shared" si="15"/>
        <v>5.1701912556399776</v>
      </c>
      <c r="AZ247" s="5">
        <f t="shared" si="14"/>
        <v>-3.5435245906399775</v>
      </c>
      <c r="BA247" s="5">
        <f>$C247-AY248</f>
        <v>-4.4937907446844765</v>
      </c>
      <c r="BB247">
        <v>1.6678845354159999</v>
      </c>
      <c r="BC247">
        <v>1.1373672766587638E-3</v>
      </c>
      <c r="BD247">
        <v>6.9899997709999999</v>
      </c>
      <c r="BE247" s="5">
        <f>BD247-AY247</f>
        <v>1.8198085153600223</v>
      </c>
      <c r="BF247" s="5">
        <f>BD247-AY248</f>
        <v>0.86954236131552332</v>
      </c>
    </row>
    <row r="248" spans="1:58" x14ac:dyDescent="0.25">
      <c r="A248" t="s">
        <v>258</v>
      </c>
      <c r="B248">
        <v>0</v>
      </c>
      <c r="C248">
        <v>1.49333334</v>
      </c>
      <c r="D248">
        <v>0</v>
      </c>
      <c r="E248">
        <v>0.35299998500000002</v>
      </c>
      <c r="F248">
        <v>4.6731652264738992</v>
      </c>
      <c r="G248">
        <v>4.6580472255888585</v>
      </c>
      <c r="H248">
        <v>4.6536981376876003</v>
      </c>
      <c r="I248">
        <v>4.5559694375404698</v>
      </c>
      <c r="J248">
        <v>5.5595502219828745</v>
      </c>
      <c r="K248">
        <v>0.31195690798514847</v>
      </c>
      <c r="L248">
        <v>247</v>
      </c>
      <c r="M248">
        <v>61009</v>
      </c>
      <c r="N248">
        <v>0</v>
      </c>
      <c r="O248" s="4">
        <v>4.64649445434772</v>
      </c>
      <c r="P248" s="4">
        <v>4.6605765102595971</v>
      </c>
      <c r="Q248" s="4">
        <v>4.63553448896951</v>
      </c>
      <c r="R248">
        <v>2.5313156004660893E-2</v>
      </c>
      <c r="S248" s="5">
        <v>1.56</v>
      </c>
      <c r="T248" s="5">
        <v>4.4569999999999999</v>
      </c>
      <c r="U248">
        <f t="shared" si="16"/>
        <v>1.5600000000000001E-2</v>
      </c>
      <c r="V248">
        <f t="shared" si="17"/>
        <v>4.4569999999999999E-2</v>
      </c>
      <c r="W248" s="1">
        <v>9266896115357870</v>
      </c>
      <c r="X248" s="2">
        <v>7.8765567179999998</v>
      </c>
      <c r="Y248" s="2">
        <v>7.699492094</v>
      </c>
      <c r="Z248" s="2">
        <v>9.6087875789999995</v>
      </c>
      <c r="AA248" s="2">
        <v>-6.0010046069999996</v>
      </c>
      <c r="AB248">
        <v>3.3768503194587479E-3</v>
      </c>
      <c r="AC248">
        <v>3.7382103399238248E-3</v>
      </c>
      <c r="AD248">
        <v>5.6495857860457245E-3</v>
      </c>
      <c r="AE248">
        <v>5.2384171008971669E-3</v>
      </c>
      <c r="AF248">
        <v>3.665213974983427E-3</v>
      </c>
      <c r="AG248">
        <v>7.1150606593825723E-3</v>
      </c>
      <c r="AH248">
        <v>1.2764646445428296E-2</v>
      </c>
      <c r="AI248">
        <v>1.8003063546325464E-2</v>
      </c>
      <c r="AJ248">
        <v>2.1668277521308892E-2</v>
      </c>
      <c r="AK248">
        <v>9.3877961259695494E-3</v>
      </c>
      <c r="AL248">
        <v>1.4626213226866715E-2</v>
      </c>
      <c r="AM248">
        <v>1.8291427201850143E-2</v>
      </c>
      <c r="AN248">
        <v>1.0888002886942891E-2</v>
      </c>
      <c r="AO248">
        <v>1.4553216861926319E-2</v>
      </c>
      <c r="AP248">
        <v>8.9036310758805939E-3</v>
      </c>
      <c r="AQ248">
        <v>-3.9251315951985798E-4</v>
      </c>
      <c r="AR248">
        <v>9.0410773193509361E-4</v>
      </c>
      <c r="AS248">
        <v>5.8650759320458039E-2</v>
      </c>
      <c r="AT248">
        <v>9.644369821320084E-2</v>
      </c>
      <c r="AU248">
        <v>4.3297031667547401</v>
      </c>
      <c r="AV248" s="5">
        <v>137.9749597</v>
      </c>
      <c r="AW248" s="6">
        <v>218.86099999999999</v>
      </c>
      <c r="AX248" s="6">
        <f t="shared" si="13"/>
        <v>5.3884368251108095</v>
      </c>
      <c r="AY248" s="5">
        <f t="shared" si="15"/>
        <v>6.1204574096844766</v>
      </c>
      <c r="AZ248" s="5">
        <f t="shared" si="14"/>
        <v>-4.6271240696844771</v>
      </c>
      <c r="BA248" s="5">
        <f>$C248-AY249</f>
        <v>10.760623482872397</v>
      </c>
      <c r="BB248">
        <v>1.7510656518000001</v>
      </c>
      <c r="BC248">
        <v>-1.450276788681976E-4</v>
      </c>
      <c r="BD248">
        <v>7.20666647</v>
      </c>
      <c r="BE248" s="5">
        <f>BD248-AY248</f>
        <v>1.0862090603155234</v>
      </c>
      <c r="BF248" s="5">
        <f>BD248-AY249</f>
        <v>16.473956612872399</v>
      </c>
    </row>
    <row r="249" spans="1:58" x14ac:dyDescent="0.25">
      <c r="A249" t="s">
        <v>259</v>
      </c>
      <c r="B249">
        <v>0</v>
      </c>
      <c r="C249">
        <v>0.29666668200000001</v>
      </c>
      <c r="D249">
        <v>0</v>
      </c>
      <c r="E249">
        <v>0.35299998500000002</v>
      </c>
      <c r="F249">
        <v>4.6760572623357408</v>
      </c>
      <c r="G249">
        <v>4.6442370411519933</v>
      </c>
      <c r="H249">
        <v>4.6515412312092614</v>
      </c>
      <c r="I249">
        <v>4.4994095903089253</v>
      </c>
      <c r="J249">
        <v>5.5442981517650036</v>
      </c>
      <c r="K249">
        <v>0.32084491525473302</v>
      </c>
      <c r="L249">
        <v>248</v>
      </c>
      <c r="M249">
        <v>61504</v>
      </c>
      <c r="N249">
        <v>-1.6746066118088637E-2</v>
      </c>
      <c r="O249" s="4">
        <v>4.634039430150751</v>
      </c>
      <c r="P249" s="4">
        <v>4.6619001747337805</v>
      </c>
      <c r="Q249" s="4">
        <v>4.5788364775362362</v>
      </c>
      <c r="R249">
        <v>1.1992215736572371E-2</v>
      </c>
      <c r="S249" s="5">
        <v>1.1459999999999999</v>
      </c>
      <c r="T249" s="5">
        <v>0.78300000000000003</v>
      </c>
      <c r="U249">
        <f t="shared" si="16"/>
        <v>1.146E-2</v>
      </c>
      <c r="V249">
        <f t="shared" si="17"/>
        <v>7.8300000000000002E-3</v>
      </c>
      <c r="W249" s="1">
        <v>9257546043404490</v>
      </c>
      <c r="X249" s="2">
        <v>7.8699847419999998</v>
      </c>
      <c r="Y249" s="2">
        <v>7.6331109980000003</v>
      </c>
      <c r="Z249" s="2">
        <v>9.5870355669999991</v>
      </c>
      <c r="AA249" s="2">
        <v>0.31355874099999997</v>
      </c>
      <c r="AB249">
        <v>-2.5246445208648599E-3</v>
      </c>
      <c r="AC249">
        <v>7.2512463554787188E-3</v>
      </c>
      <c r="AD249">
        <v>7.0972750663178437E-3</v>
      </c>
      <c r="AE249">
        <v>5.2609655500345711E-3</v>
      </c>
      <c r="AF249">
        <v>5.4396592745694595E-3</v>
      </c>
      <c r="AG249">
        <v>4.7266018346138593E-3</v>
      </c>
      <c r="AH249">
        <v>1.1823876900931703E-2</v>
      </c>
      <c r="AI249">
        <v>1.7084842450966274E-2</v>
      </c>
      <c r="AJ249">
        <v>2.2524501725535735E-2</v>
      </c>
      <c r="AK249">
        <v>1.4348521421796562E-2</v>
      </c>
      <c r="AL249">
        <v>1.9609486971831132E-2</v>
      </c>
      <c r="AM249">
        <v>2.5049146246400592E-2</v>
      </c>
      <c r="AN249">
        <v>1.2358240616352415E-2</v>
      </c>
      <c r="AO249">
        <v>1.7797899890921873E-2</v>
      </c>
      <c r="AP249">
        <v>1.070062482460403E-2</v>
      </c>
      <c r="AQ249">
        <v>3.460518534853671E-3</v>
      </c>
      <c r="AR249">
        <v>5.0562701099048125E-3</v>
      </c>
      <c r="AS249">
        <v>6.211127785531171E-2</v>
      </c>
      <c r="AT249">
        <v>0.10149996832310565</v>
      </c>
      <c r="AU249">
        <v>4.4287363834424696</v>
      </c>
      <c r="AV249" s="5">
        <v>137.97603480000001</v>
      </c>
      <c r="AW249" s="6">
        <v>213.84866666666667</v>
      </c>
      <c r="AX249" s="6">
        <f t="shared" si="13"/>
        <v>5.3652685997536285</v>
      </c>
      <c r="AY249" s="5">
        <f t="shared" si="15"/>
        <v>-9.2672901428723975</v>
      </c>
      <c r="AZ249" s="5">
        <f t="shared" si="14"/>
        <v>9.5639568248723972</v>
      </c>
      <c r="BA249" s="5">
        <f>$C249-AY250</f>
        <v>0.29666668200000001</v>
      </c>
      <c r="BB249">
        <v>1.8479187394559999</v>
      </c>
      <c r="BC249">
        <v>-6.8199402564173006E-4</v>
      </c>
      <c r="BD249">
        <v>8.8400001530000001</v>
      </c>
      <c r="BE249" s="5">
        <f>BD249-AY249</f>
        <v>18.107290295872396</v>
      </c>
      <c r="BF249" s="5">
        <f>BD249-AY250</f>
        <v>8.8400001530000001</v>
      </c>
    </row>
    <row r="250" spans="1:58" x14ac:dyDescent="0.25">
      <c r="O250" s="1"/>
      <c r="P250" s="1"/>
      <c r="Q250" s="1"/>
      <c r="R250" s="1"/>
      <c r="S250" s="1"/>
      <c r="T250" s="1"/>
      <c r="U250" s="5"/>
      <c r="V250" s="5"/>
      <c r="AW250" s="6"/>
      <c r="AX250" s="6"/>
    </row>
    <row r="251" spans="1:58" x14ac:dyDescent="0.25">
      <c r="O251" s="1"/>
      <c r="P251" s="1"/>
      <c r="Q251" s="1"/>
      <c r="R251" s="1"/>
      <c r="S251" s="1"/>
      <c r="T251" s="1"/>
      <c r="U251" s="5"/>
      <c r="V251" s="5"/>
      <c r="AW251" s="6"/>
      <c r="AX251" s="6"/>
    </row>
    <row r="252" spans="1:58" x14ac:dyDescent="0.25">
      <c r="O252" s="1"/>
      <c r="P252" s="1"/>
      <c r="Q252" s="1"/>
      <c r="R252" s="1"/>
      <c r="S252" s="1"/>
      <c r="U252" s="5"/>
      <c r="V252" s="5"/>
      <c r="AW252" s="6"/>
      <c r="AX252" s="6"/>
    </row>
    <row r="253" spans="1:58" x14ac:dyDescent="0.25">
      <c r="O253" s="1"/>
      <c r="P253" s="1"/>
      <c r="Q253" s="1"/>
      <c r="R253" s="1"/>
      <c r="S253" s="1"/>
      <c r="T253" s="1"/>
      <c r="U253" s="5"/>
      <c r="V253" s="5"/>
      <c r="AW253" s="6"/>
      <c r="AX253" s="6"/>
    </row>
    <row r="254" spans="1:58" x14ac:dyDescent="0.25">
      <c r="O254" s="1"/>
      <c r="P254" s="1"/>
      <c r="Q254" s="1"/>
      <c r="R254" s="1"/>
      <c r="S254" s="1"/>
      <c r="T254" s="1"/>
      <c r="U254" s="5"/>
      <c r="V254" s="5"/>
      <c r="AW254" s="6"/>
      <c r="AX254" s="6"/>
    </row>
    <row r="255" spans="1:58" x14ac:dyDescent="0.25">
      <c r="O255" s="1"/>
      <c r="P255" s="1"/>
      <c r="Q255" s="1"/>
      <c r="R255" s="1"/>
      <c r="S255" s="1"/>
      <c r="T255" s="1"/>
      <c r="U255" s="5"/>
      <c r="V255" s="5"/>
      <c r="AW255" s="6"/>
      <c r="AX255" s="6"/>
    </row>
    <row r="256" spans="1:58" x14ac:dyDescent="0.25">
      <c r="O256" s="1"/>
      <c r="P256" s="1"/>
      <c r="Q256" s="1"/>
      <c r="R256" s="1"/>
      <c r="S256" s="1"/>
      <c r="T256" s="1"/>
      <c r="U256" s="5"/>
      <c r="V256" s="5"/>
      <c r="AW256" s="6"/>
      <c r="AX256" s="6"/>
    </row>
    <row r="257" spans="15:50" x14ac:dyDescent="0.25">
      <c r="O257" s="1"/>
      <c r="P257" s="1"/>
      <c r="Q257" s="1"/>
      <c r="R257" s="1"/>
      <c r="AW257" s="6"/>
      <c r="AX257" s="6"/>
    </row>
    <row r="258" spans="15:50" x14ac:dyDescent="0.25">
      <c r="O258" s="1"/>
      <c r="P258" s="1"/>
      <c r="Q258" s="1"/>
      <c r="R258" s="1"/>
      <c r="AW258" s="6"/>
      <c r="AX258" s="6"/>
    </row>
    <row r="259" spans="15:50" x14ac:dyDescent="0.25">
      <c r="O259" s="1"/>
      <c r="P259" s="1"/>
      <c r="Q259" s="1"/>
      <c r="R259" s="1"/>
      <c r="AW259" s="6"/>
      <c r="AX259" s="6"/>
    </row>
    <row r="260" spans="15:50" x14ac:dyDescent="0.25">
      <c r="O260" s="1"/>
      <c r="P260" s="1"/>
      <c r="Q260" s="1"/>
      <c r="R260" s="1"/>
      <c r="AW260" s="6"/>
      <c r="AX260" s="6"/>
    </row>
    <row r="261" spans="15:50" x14ac:dyDescent="0.25">
      <c r="O261" s="1"/>
      <c r="P261" s="1"/>
      <c r="Q261" s="1"/>
      <c r="R261" s="1"/>
      <c r="AW261" s="6"/>
      <c r="AX261" s="6"/>
    </row>
    <row r="262" spans="15:50" x14ac:dyDescent="0.25">
      <c r="O262" s="1"/>
      <c r="P262" s="1"/>
      <c r="Q262" s="1"/>
      <c r="R262" s="1"/>
      <c r="AW262" s="6"/>
      <c r="AX262" s="6"/>
    </row>
    <row r="263" spans="15:50" x14ac:dyDescent="0.25">
      <c r="O263" s="1"/>
      <c r="P263" s="1"/>
      <c r="Q263" s="1"/>
      <c r="R263" s="1"/>
      <c r="AW263" s="6"/>
      <c r="AX263" s="6"/>
    </row>
    <row r="264" spans="15:50" x14ac:dyDescent="0.25">
      <c r="O264" s="1"/>
      <c r="P264" s="1"/>
      <c r="Q264" s="1"/>
      <c r="R264" s="1"/>
      <c r="AW264" s="6"/>
      <c r="AX264" s="6"/>
    </row>
    <row r="265" spans="15:50" x14ac:dyDescent="0.25">
      <c r="O265" s="1"/>
      <c r="P265" s="1"/>
      <c r="Q265" s="1"/>
      <c r="R265" s="1"/>
      <c r="AW265" s="6"/>
      <c r="AX265" s="6"/>
    </row>
    <row r="266" spans="15:50" x14ac:dyDescent="0.25">
      <c r="O266" s="1"/>
      <c r="P266" s="1"/>
      <c r="Q266" s="1"/>
      <c r="R266" s="1"/>
      <c r="AW266" s="6"/>
      <c r="AX266" s="6"/>
    </row>
    <row r="267" spans="15:50" x14ac:dyDescent="0.25">
      <c r="O267" s="1"/>
      <c r="P267" s="1"/>
      <c r="Q267" s="1"/>
      <c r="R267" s="1"/>
      <c r="AW267" s="6"/>
      <c r="AX267" s="6"/>
    </row>
    <row r="268" spans="15:50" x14ac:dyDescent="0.25">
      <c r="O268" s="1"/>
      <c r="P268" s="1"/>
      <c r="Q268" s="1"/>
      <c r="R268" s="1"/>
      <c r="AW268" s="6"/>
      <c r="AX268" s="6"/>
    </row>
    <row r="269" spans="15:50" x14ac:dyDescent="0.25">
      <c r="O269" s="1"/>
      <c r="P269" s="1"/>
      <c r="Q269" s="1"/>
      <c r="R269" s="1"/>
      <c r="AW269" s="6"/>
      <c r="AX269" s="6"/>
    </row>
    <row r="270" spans="15:50" x14ac:dyDescent="0.25">
      <c r="O270" s="1"/>
      <c r="P270" s="1"/>
      <c r="Q270" s="1"/>
      <c r="R270" s="1"/>
      <c r="AW270" s="6"/>
      <c r="AX270" s="6"/>
    </row>
    <row r="271" spans="15:50" x14ac:dyDescent="0.25">
      <c r="O271" s="1"/>
      <c r="P271" s="1"/>
      <c r="Q271" s="1"/>
      <c r="R271" s="1"/>
      <c r="AW271" s="6"/>
      <c r="AX271" s="6"/>
    </row>
    <row r="272" spans="15:50" x14ac:dyDescent="0.25">
      <c r="O272" s="1"/>
      <c r="P272" s="1"/>
      <c r="Q272" s="1"/>
      <c r="R272" s="1"/>
      <c r="AW272" s="6"/>
      <c r="AX272" s="6"/>
    </row>
    <row r="273" spans="15:50" x14ac:dyDescent="0.25">
      <c r="O273" s="1"/>
      <c r="P273" s="1"/>
      <c r="Q273" s="1"/>
      <c r="R273" s="1"/>
      <c r="AW273" s="6"/>
      <c r="AX273" s="6"/>
    </row>
    <row r="274" spans="15:50" x14ac:dyDescent="0.25">
      <c r="O274" s="1"/>
      <c r="P274" s="1"/>
      <c r="Q274" s="1"/>
      <c r="R274" s="1"/>
      <c r="AW274" s="6"/>
      <c r="AX274" s="6"/>
    </row>
    <row r="275" spans="15:50" x14ac:dyDescent="0.25">
      <c r="O275" s="1"/>
      <c r="P275" s="1"/>
      <c r="Q275" s="1"/>
      <c r="R275" s="1"/>
      <c r="AW275" s="6"/>
      <c r="AX275" s="6"/>
    </row>
    <row r="276" spans="15:50" x14ac:dyDescent="0.25">
      <c r="O276" s="1"/>
      <c r="P276" s="1"/>
      <c r="Q276" s="1"/>
      <c r="R276" s="1"/>
      <c r="AW276" s="6"/>
      <c r="AX276" s="6"/>
    </row>
    <row r="277" spans="15:50" x14ac:dyDescent="0.25">
      <c r="O277" s="1"/>
      <c r="P277" s="1"/>
      <c r="Q277" s="1"/>
      <c r="R277" s="1"/>
      <c r="AW277" s="6"/>
      <c r="AX277" s="6"/>
    </row>
    <row r="278" spans="15:50" x14ac:dyDescent="0.25">
      <c r="O278" s="1"/>
      <c r="P278" s="1"/>
      <c r="Q278" s="1"/>
      <c r="R278" s="1"/>
      <c r="AW278" s="6"/>
      <c r="AX278" s="6"/>
    </row>
    <row r="279" spans="15:50" x14ac:dyDescent="0.25">
      <c r="O279" s="1"/>
      <c r="P279" s="1"/>
      <c r="Q279" s="1"/>
      <c r="R279" s="1"/>
      <c r="AW279" s="6"/>
      <c r="AX279" s="6"/>
    </row>
    <row r="280" spans="15:50" x14ac:dyDescent="0.25">
      <c r="O280" s="1"/>
      <c r="P280" s="1"/>
      <c r="Q280" s="1"/>
      <c r="R280" s="1"/>
      <c r="AW280" s="6"/>
      <c r="AX280" s="6"/>
    </row>
    <row r="281" spans="15:50" x14ac:dyDescent="0.25">
      <c r="O281" s="1"/>
      <c r="P281" s="1"/>
      <c r="Q281" s="1"/>
      <c r="R281" s="1"/>
      <c r="AW281" s="6"/>
      <c r="AX281" s="6"/>
    </row>
    <row r="282" spans="15:50" x14ac:dyDescent="0.25">
      <c r="AW282" s="6"/>
      <c r="AX282" s="6"/>
    </row>
    <row r="283" spans="15:50" x14ac:dyDescent="0.25">
      <c r="AW283" s="6"/>
      <c r="AX283" s="6"/>
    </row>
    <row r="284" spans="15:50" x14ac:dyDescent="0.25">
      <c r="AW284" s="6"/>
      <c r="AX284" s="6"/>
    </row>
    <row r="285" spans="15:50" x14ac:dyDescent="0.25">
      <c r="AW285" s="6"/>
      <c r="AX285" s="6"/>
    </row>
    <row r="286" spans="15:50" x14ac:dyDescent="0.25">
      <c r="AW286" s="6"/>
      <c r="AX286" s="6"/>
    </row>
    <row r="287" spans="15:50" x14ac:dyDescent="0.25">
      <c r="AW287" s="6"/>
      <c r="AX287" s="6"/>
    </row>
    <row r="288" spans="15:50" x14ac:dyDescent="0.25">
      <c r="AW288" s="6"/>
      <c r="AX288" s="6"/>
    </row>
    <row r="289" spans="49:50" x14ac:dyDescent="0.25">
      <c r="AW289" s="6"/>
      <c r="AX289" s="6"/>
    </row>
    <row r="290" spans="49:50" x14ac:dyDescent="0.25">
      <c r="AW290" s="6"/>
      <c r="AX290" s="6"/>
    </row>
    <row r="291" spans="49:50" x14ac:dyDescent="0.25">
      <c r="AW291" s="6"/>
      <c r="AX291" s="6"/>
    </row>
    <row r="292" spans="49:50" x14ac:dyDescent="0.25">
      <c r="AW292" s="6"/>
      <c r="AX292" s="6"/>
    </row>
    <row r="293" spans="49:50" x14ac:dyDescent="0.25">
      <c r="AW293" s="6"/>
      <c r="AX293" s="6"/>
    </row>
    <row r="294" spans="49:50" x14ac:dyDescent="0.25">
      <c r="AW294" s="6"/>
      <c r="AX294" s="6"/>
    </row>
    <row r="295" spans="49:50" x14ac:dyDescent="0.25">
      <c r="AW295" s="6"/>
      <c r="AX295" s="6"/>
    </row>
    <row r="296" spans="49:50" x14ac:dyDescent="0.25">
      <c r="AW296" s="6"/>
      <c r="AX296" s="6"/>
    </row>
    <row r="297" spans="49:50" x14ac:dyDescent="0.25">
      <c r="AW297" s="6"/>
      <c r="AX297" s="6"/>
    </row>
    <row r="298" spans="49:50" x14ac:dyDescent="0.25">
      <c r="AW298" s="6"/>
      <c r="AX298" s="6"/>
    </row>
    <row r="299" spans="49:50" x14ac:dyDescent="0.25">
      <c r="AW299" s="6"/>
      <c r="AX299" s="6"/>
    </row>
    <row r="300" spans="49:50" x14ac:dyDescent="0.25">
      <c r="AW300" s="6"/>
      <c r="AX300" s="6"/>
    </row>
    <row r="301" spans="49:50" x14ac:dyDescent="0.25">
      <c r="AW301" s="7"/>
      <c r="AX301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Alessandro Pietro Gobbi</cp:lastModifiedBy>
  <dcterms:created xsi:type="dcterms:W3CDTF">2020-04-02T11:23:18Z</dcterms:created>
  <dcterms:modified xsi:type="dcterms:W3CDTF">2022-11-09T16:13:11Z</dcterms:modified>
</cp:coreProperties>
</file>